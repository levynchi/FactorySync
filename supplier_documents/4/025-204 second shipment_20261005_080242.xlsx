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itex excell\supplier_documents\4\"/>
    </mc:Choice>
  </mc:AlternateContent>
  <xr:revisionPtr revIDLastSave="0" documentId="13_ncr:1_{2ECFAB70-9E2C-4F82-8655-29AE1F76477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yfa1" sheetId="1" r:id="rId1"/>
    <sheet name="אריה" sheetId="2" r:id="rId2"/>
    <sheet name="בייבי בייסיק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2" i="2" l="1"/>
  <c r="F82" i="2"/>
  <c r="H28" i="3"/>
  <c r="F28" i="3"/>
</calcChain>
</file>

<file path=xl/sharedStrings.xml><?xml version="1.0" encoding="utf-8"?>
<sst xmlns="http://schemas.openxmlformats.org/spreadsheetml/2006/main" count="981" uniqueCount="177">
  <si>
    <t>CARTON</t>
  </si>
  <si>
    <t>MODEL NO</t>
  </si>
  <si>
    <t>SİZE</t>
  </si>
  <si>
    <t>BRAND</t>
  </si>
  <si>
    <t>PACKET</t>
  </si>
  <si>
    <t>PİECES</t>
  </si>
  <si>
    <t>מחיר $ ליחידה (עומר, לפני מע"מ)</t>
  </si>
  <si>
    <t>סה"כ $</t>
  </si>
  <si>
    <t>סה"כ ₪</t>
  </si>
  <si>
    <t>1X</t>
  </si>
  <si>
    <t>0-3</t>
  </si>
  <si>
    <t>BABY BASİC</t>
  </si>
  <si>
    <t>2X</t>
  </si>
  <si>
    <t>3X</t>
  </si>
  <si>
    <t>3-6</t>
  </si>
  <si>
    <t>4X</t>
  </si>
  <si>
    <t>5X</t>
  </si>
  <si>
    <t>6X</t>
  </si>
  <si>
    <t>6-12</t>
  </si>
  <si>
    <t>7X</t>
  </si>
  <si>
    <t>8X</t>
  </si>
  <si>
    <t>9X</t>
  </si>
  <si>
    <t>12-18</t>
  </si>
  <si>
    <t>10X</t>
  </si>
  <si>
    <t>11X</t>
  </si>
  <si>
    <t>12X</t>
  </si>
  <si>
    <t>13X</t>
  </si>
  <si>
    <t>18-24</t>
  </si>
  <si>
    <t>14X</t>
  </si>
  <si>
    <t>15X</t>
  </si>
  <si>
    <t>16X</t>
  </si>
  <si>
    <t>24-30</t>
  </si>
  <si>
    <t>17X</t>
  </si>
  <si>
    <t>18X</t>
  </si>
  <si>
    <t>77X</t>
  </si>
  <si>
    <t>4</t>
  </si>
  <si>
    <t>78X</t>
  </si>
  <si>
    <t>79X</t>
  </si>
  <si>
    <t>80X</t>
  </si>
  <si>
    <t>81X</t>
  </si>
  <si>
    <t>6</t>
  </si>
  <si>
    <t>82X</t>
  </si>
  <si>
    <t>83X</t>
  </si>
  <si>
    <t>84X</t>
  </si>
  <si>
    <t>סה"כ</t>
  </si>
  <si>
    <t>025</t>
  </si>
  <si>
    <t>50</t>
  </si>
  <si>
    <t>250</t>
  </si>
  <si>
    <t>47</t>
  </si>
  <si>
    <t>235</t>
  </si>
  <si>
    <t>48</t>
  </si>
  <si>
    <t>240</t>
  </si>
  <si>
    <t>34</t>
  </si>
  <si>
    <t>170</t>
  </si>
  <si>
    <t>35</t>
  </si>
  <si>
    <t>175</t>
  </si>
  <si>
    <t>37</t>
  </si>
  <si>
    <t>185</t>
  </si>
  <si>
    <t>33</t>
  </si>
  <si>
    <t>165</t>
  </si>
  <si>
    <t>19X</t>
  </si>
  <si>
    <t>ARYE</t>
  </si>
  <si>
    <t>84</t>
  </si>
  <si>
    <t>252</t>
  </si>
  <si>
    <t>20X</t>
  </si>
  <si>
    <t>21X</t>
  </si>
  <si>
    <t>22X</t>
  </si>
  <si>
    <t>86</t>
  </si>
  <si>
    <t>258</t>
  </si>
  <si>
    <t>23X</t>
  </si>
  <si>
    <t>77</t>
  </si>
  <si>
    <t>231</t>
  </si>
  <si>
    <t>24X</t>
  </si>
  <si>
    <t>25X</t>
  </si>
  <si>
    <t>26X</t>
  </si>
  <si>
    <t>27X</t>
  </si>
  <si>
    <t>28X</t>
  </si>
  <si>
    <t>29X</t>
  </si>
  <si>
    <t>30X</t>
  </si>
  <si>
    <t>31X</t>
  </si>
  <si>
    <t>32X</t>
  </si>
  <si>
    <t>79</t>
  </si>
  <si>
    <t>237</t>
  </si>
  <si>
    <t>33X</t>
  </si>
  <si>
    <t>58</t>
  </si>
  <si>
    <t>174</t>
  </si>
  <si>
    <t>34X</t>
  </si>
  <si>
    <t>35X</t>
  </si>
  <si>
    <t>36X</t>
  </si>
  <si>
    <t>37X</t>
  </si>
  <si>
    <t>38X</t>
  </si>
  <si>
    <t>39X</t>
  </si>
  <si>
    <t>40X</t>
  </si>
  <si>
    <t>62</t>
  </si>
  <si>
    <t>186</t>
  </si>
  <si>
    <t>41X</t>
  </si>
  <si>
    <t>64</t>
  </si>
  <si>
    <t>192</t>
  </si>
  <si>
    <t>42X</t>
  </si>
  <si>
    <t>43X</t>
  </si>
  <si>
    <t>44X</t>
  </si>
  <si>
    <t>45X</t>
  </si>
  <si>
    <t>46X</t>
  </si>
  <si>
    <t>47X</t>
  </si>
  <si>
    <t>48X</t>
  </si>
  <si>
    <t>49X</t>
  </si>
  <si>
    <t>50X</t>
  </si>
  <si>
    <t>51X</t>
  </si>
  <si>
    <t>52X</t>
  </si>
  <si>
    <t>65</t>
  </si>
  <si>
    <t>195</t>
  </si>
  <si>
    <t>53X</t>
  </si>
  <si>
    <t>56</t>
  </si>
  <si>
    <t>168</t>
  </si>
  <si>
    <t>54X</t>
  </si>
  <si>
    <t>55X</t>
  </si>
  <si>
    <t>56X</t>
  </si>
  <si>
    <t>57X</t>
  </si>
  <si>
    <t>58X</t>
  </si>
  <si>
    <t>59X</t>
  </si>
  <si>
    <t>60X</t>
  </si>
  <si>
    <t>61X</t>
  </si>
  <si>
    <t>62X</t>
  </si>
  <si>
    <t>63X</t>
  </si>
  <si>
    <t>64X</t>
  </si>
  <si>
    <t>65X</t>
  </si>
  <si>
    <t>66X</t>
  </si>
  <si>
    <t>67X</t>
  </si>
  <si>
    <t>61</t>
  </si>
  <si>
    <t>183</t>
  </si>
  <si>
    <t>68X</t>
  </si>
  <si>
    <t>52</t>
  </si>
  <si>
    <t>156</t>
  </si>
  <si>
    <t>69X</t>
  </si>
  <si>
    <t>70X</t>
  </si>
  <si>
    <t>71X</t>
  </si>
  <si>
    <t>72X</t>
  </si>
  <si>
    <t>73X</t>
  </si>
  <si>
    <t>74X</t>
  </si>
  <si>
    <t>75X</t>
  </si>
  <si>
    <t>76X</t>
  </si>
  <si>
    <t>55</t>
  </si>
  <si>
    <t>204</t>
  </si>
  <si>
    <t>26</t>
  </si>
  <si>
    <t>130</t>
  </si>
  <si>
    <t>25</t>
  </si>
  <si>
    <t>125</t>
  </si>
  <si>
    <t>85X</t>
  </si>
  <si>
    <t>43</t>
  </si>
  <si>
    <t>129</t>
  </si>
  <si>
    <t>86X</t>
  </si>
  <si>
    <t>87X</t>
  </si>
  <si>
    <t>88X</t>
  </si>
  <si>
    <t>89X</t>
  </si>
  <si>
    <t>90X</t>
  </si>
  <si>
    <t>91X</t>
  </si>
  <si>
    <t>92X</t>
  </si>
  <si>
    <t>93X</t>
  </si>
  <si>
    <t>94X</t>
  </si>
  <si>
    <t>95X</t>
  </si>
  <si>
    <t>40</t>
  </si>
  <si>
    <t>120</t>
  </si>
  <si>
    <t>96X</t>
  </si>
  <si>
    <t>97X</t>
  </si>
  <si>
    <t>98X</t>
  </si>
  <si>
    <t>99X</t>
  </si>
  <si>
    <t>100X</t>
  </si>
  <si>
    <t>101X</t>
  </si>
  <si>
    <t>102X</t>
  </si>
  <si>
    <t>103X</t>
  </si>
  <si>
    <t>104X</t>
  </si>
  <si>
    <t>105X</t>
  </si>
  <si>
    <t>106X</t>
  </si>
  <si>
    <t>38</t>
  </si>
  <si>
    <t>114</t>
  </si>
  <si>
    <t>סה"כ כללי</t>
  </si>
  <si>
    <t xml:space="preserve">מחיר ₪ ליחידה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</si>
</sst>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#,##0.00\ \₪"/>
  </numFmts>
  <fonts count="8" x14ac:knownFonts="1">
    <font>
      <sz val="11"/>
      <color theme="1"/>
      <name val="Arial"/>
      <family val="2"/>
      <charset val="162"/>
      <scheme val="minor"/>
    </font>
    <font>
      <b/>
      <sz val="22"/>
      <color theme="1"/>
      <name val="Arial"/>
      <family val="2"/>
      <charset val="162"/>
      <scheme val="minor"/>
    </font>
    <font>
      <sz val="18"/>
      <color theme="1"/>
      <name val="Arial"/>
      <family val="2"/>
      <charset val="162"/>
      <scheme val="minor"/>
    </font>
    <font>
      <b/>
      <sz val="11"/>
      <color rgb="FFFFFFFF"/>
      <name val="Arial"/>
    </font>
    <font>
      <b/>
      <sz val="11"/>
      <name val="Arial"/>
    </font>
    <font>
      <i/>
      <sz val="9"/>
      <color rgb="FF64748B"/>
      <name val="Arial"/>
    </font>
    <font>
      <sz val="11"/>
      <name val="Arial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DBEAFE"/>
        <bgColor rgb="FFDBEAF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4" fillId="3" borderId="0" xfId="0" applyFont="1" applyFill="1"/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3" xfId="0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#,##0.00\ \₪"/>
      <fill>
        <patternFill patternType="solid">
          <fgColor rgb="FFDBEAFE"/>
          <bgColor rgb="FFDBEAF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rgb="FFDBEAFE"/>
          <bgColor rgb="FFDBEAF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alignment horizontal="center" vertical="center"/>
    </dxf>
    <dxf>
      <numFmt numFmtId="3" formatCode="#,##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0" formatCode="@"/>
      <alignment horizontal="center" vertical="center"/>
    </dxf>
    <dxf>
      <alignment horizontal="center" vertical="center"/>
    </dxf>
    <dxf>
      <numFmt numFmtId="30" formatCode="@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alignment horizontal="center" vertical="center"/>
    </dxf>
    <dxf>
      <numFmt numFmtId="30" formatCode="@"/>
      <alignment horizontal="center" vertical="center"/>
    </dxf>
    <dxf>
      <numFmt numFmtId="30" formatCode="@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rye" displayName="tblArye" ref="A1:H82" totalsRowCount="1" headerRowDxfId="22" dataDxfId="21" totalsRowDxfId="20">
  <autoFilter ref="A1:H81" xr:uid="{00000000-0009-0000-0100-000001000000}"/>
  <tableColumns count="8">
    <tableColumn id="1" xr3:uid="{00000000-0010-0000-0000-000001000000}" name="CARTON" totalsRowLabel="סה&quot;כ" dataDxfId="19" totalsRowDxfId="18"/>
    <tableColumn id="2" xr3:uid="{00000000-0010-0000-0000-000002000000}" name="MODEL NO" dataDxfId="17" totalsRowDxfId="16"/>
    <tableColumn id="3" xr3:uid="{00000000-0010-0000-0000-000003000000}" name="SİZE" dataDxfId="15" totalsRowDxfId="14"/>
    <tableColumn id="4" xr3:uid="{00000000-0010-0000-0000-000004000000}" name="BRAND" dataDxfId="13" totalsRowDxfId="12"/>
    <tableColumn id="5" xr3:uid="{00000000-0010-0000-0000-000005000000}" name="PACKET" dataDxfId="11" totalsRowDxfId="10"/>
    <tableColumn id="6" xr3:uid="{00000000-0010-0000-0000-000006000000}" name="PİECES" totalsRowFunction="sum" dataDxfId="9" totalsRowDxfId="8"/>
    <tableColumn id="7" xr3:uid="{00000000-0010-0000-0000-000007000000}" name="מחיר $ ליחידה (עומר, לפני מע&quot;מ)"/>
    <tableColumn id="8" xr3:uid="{00000000-0010-0000-0000-000008000000}" name="סה&quot;כ $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abyBasic" displayName="tblBabyBasic" ref="A1:H28" totalsRowCount="1" headerRowDxfId="31" dataDxfId="30" totalsRowDxfId="29">
  <autoFilter ref="A1:H27" xr:uid="{00000000-0009-0000-0100-000002000000}"/>
  <tableColumns count="8">
    <tableColumn id="1" xr3:uid="{00000000-0010-0000-0100-000001000000}" name="CARTON" totalsRowLabel="סה&quot;כ" dataDxfId="28" totalsRowDxfId="7"/>
    <tableColumn id="2" xr3:uid="{00000000-0010-0000-0100-000002000000}" name="MODEL NO" dataDxfId="27" totalsRowDxfId="6"/>
    <tableColumn id="3" xr3:uid="{00000000-0010-0000-0100-000003000000}" name="SİZE" dataDxfId="26" totalsRowDxfId="5"/>
    <tableColumn id="4" xr3:uid="{00000000-0010-0000-0100-000004000000}" name="BRAND" dataDxfId="25" totalsRowDxfId="4"/>
    <tableColumn id="5" xr3:uid="{00000000-0010-0000-0100-000005000000}" name="PACKET" dataDxfId="24" totalsRowDxfId="3"/>
    <tableColumn id="6" xr3:uid="{00000000-0010-0000-0100-000006000000}" name="PİECES" totalsRowFunction="sum" dataDxfId="23" totalsRowDxfId="2"/>
    <tableColumn id="9" xr3:uid="{00000000-0010-0000-0100-000009000000}" name="מחיר ₪ ליחידה " totalsRowDxfId="1"/>
    <tableColumn id="10" xr3:uid="{00000000-0010-0000-0100-00000A000000}" name="סה&quot;כ ₪" totalsRowFunction="sum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6"/>
  <sheetViews>
    <sheetView zoomScale="70" zoomScaleNormal="70" workbookViewId="0">
      <selection activeCell="F115" sqref="F115"/>
    </sheetView>
  </sheetViews>
  <sheetFormatPr defaultColWidth="8.8984375" defaultRowHeight="13.8" x14ac:dyDescent="0.25"/>
  <cols>
    <col min="1" max="1" width="19.8984375" style="4" customWidth="1"/>
    <col min="2" max="2" width="21.69921875" style="4" customWidth="1"/>
    <col min="3" max="3" width="13.296875" style="4" customWidth="1"/>
    <col min="4" max="4" width="19.69921875" style="4" customWidth="1"/>
    <col min="5" max="5" width="15.59765625" style="4" customWidth="1"/>
    <col min="6" max="6" width="16.69921875" style="4" customWidth="1"/>
    <col min="7" max="7" width="18" style="4" customWidth="1"/>
    <col min="8" max="8" width="18" customWidth="1"/>
    <col min="9" max="9" width="18" style="4" customWidth="1"/>
    <col min="10" max="10" width="8.8984375" style="5" customWidth="1"/>
    <col min="11" max="11" width="17.3984375" style="4" customWidth="1"/>
    <col min="12" max="12" width="8.8984375" style="4" customWidth="1"/>
    <col min="13" max="16384" width="8.8984375" style="4"/>
  </cols>
  <sheetData>
    <row r="1" spans="1:11" ht="28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1" t="s">
        <v>7</v>
      </c>
      <c r="I1" s="2"/>
      <c r="J1" s="3"/>
      <c r="K1" s="2"/>
    </row>
    <row r="2" spans="1:11" ht="22.8" customHeight="1" x14ac:dyDescent="0.25">
      <c r="A2" s="6" t="s">
        <v>9</v>
      </c>
      <c r="B2" s="6" t="s">
        <v>45</v>
      </c>
      <c r="C2" s="6" t="s">
        <v>10</v>
      </c>
      <c r="D2" s="6" t="s">
        <v>11</v>
      </c>
      <c r="E2" s="6" t="s">
        <v>46</v>
      </c>
      <c r="F2" s="6" t="s">
        <v>47</v>
      </c>
      <c r="G2" s="12">
        <v>2.02</v>
      </c>
      <c r="H2" s="12">
        <v>505</v>
      </c>
    </row>
    <row r="3" spans="1:11" ht="22.8" customHeight="1" x14ac:dyDescent="0.25">
      <c r="A3" s="6" t="s">
        <v>12</v>
      </c>
      <c r="B3" s="6" t="s">
        <v>45</v>
      </c>
      <c r="C3" s="6" t="s">
        <v>10</v>
      </c>
      <c r="D3" s="6" t="s">
        <v>11</v>
      </c>
      <c r="E3" s="6" t="s">
        <v>46</v>
      </c>
      <c r="F3" s="6" t="s">
        <v>47</v>
      </c>
      <c r="G3" s="12">
        <v>2.02</v>
      </c>
      <c r="H3" s="12">
        <v>505</v>
      </c>
    </row>
    <row r="4" spans="1:11" ht="22.8" customHeight="1" x14ac:dyDescent="0.25">
      <c r="A4" s="6" t="s">
        <v>13</v>
      </c>
      <c r="B4" s="6" t="s">
        <v>45</v>
      </c>
      <c r="C4" s="6" t="s">
        <v>14</v>
      </c>
      <c r="D4" s="6" t="s">
        <v>11</v>
      </c>
      <c r="E4" s="6" t="s">
        <v>48</v>
      </c>
      <c r="F4" s="6" t="s">
        <v>49</v>
      </c>
      <c r="G4" s="12">
        <v>2.02</v>
      </c>
      <c r="H4" s="12">
        <v>474.7</v>
      </c>
    </row>
    <row r="5" spans="1:11" ht="22.8" customHeight="1" x14ac:dyDescent="0.25">
      <c r="A5" s="6" t="s">
        <v>15</v>
      </c>
      <c r="B5" s="6" t="s">
        <v>45</v>
      </c>
      <c r="C5" s="6" t="s">
        <v>14</v>
      </c>
      <c r="D5" s="6" t="s">
        <v>11</v>
      </c>
      <c r="E5" s="6" t="s">
        <v>48</v>
      </c>
      <c r="F5" s="6" t="s">
        <v>49</v>
      </c>
      <c r="G5" s="12">
        <v>2.02</v>
      </c>
      <c r="H5" s="12">
        <v>474.7</v>
      </c>
    </row>
    <row r="6" spans="1:11" ht="22.8" customHeight="1" x14ac:dyDescent="0.25">
      <c r="A6" s="6" t="s">
        <v>16</v>
      </c>
      <c r="B6" s="6" t="s">
        <v>45</v>
      </c>
      <c r="C6" s="6" t="s">
        <v>14</v>
      </c>
      <c r="D6" s="6" t="s">
        <v>11</v>
      </c>
      <c r="E6" s="6" t="s">
        <v>50</v>
      </c>
      <c r="F6" s="6" t="s">
        <v>51</v>
      </c>
      <c r="G6" s="12">
        <v>2.02</v>
      </c>
      <c r="H6" s="12">
        <v>484.8</v>
      </c>
    </row>
    <row r="7" spans="1:11" ht="22.8" customHeight="1" x14ac:dyDescent="0.25">
      <c r="A7" s="6" t="s">
        <v>17</v>
      </c>
      <c r="B7" s="6" t="s">
        <v>45</v>
      </c>
      <c r="C7" s="6" t="s">
        <v>18</v>
      </c>
      <c r="D7" s="6" t="s">
        <v>11</v>
      </c>
      <c r="E7" s="6" t="s">
        <v>52</v>
      </c>
      <c r="F7" s="6" t="s">
        <v>53</v>
      </c>
      <c r="G7" s="12">
        <v>2.02</v>
      </c>
      <c r="H7" s="12">
        <v>343.4</v>
      </c>
    </row>
    <row r="8" spans="1:11" ht="22.8" customHeight="1" x14ac:dyDescent="0.25">
      <c r="A8" s="6" t="s">
        <v>19</v>
      </c>
      <c r="B8" s="6" t="s">
        <v>45</v>
      </c>
      <c r="C8" s="6" t="s">
        <v>18</v>
      </c>
      <c r="D8" s="6" t="s">
        <v>11</v>
      </c>
      <c r="E8" s="6" t="s">
        <v>52</v>
      </c>
      <c r="F8" s="6" t="s">
        <v>53</v>
      </c>
      <c r="G8" s="12">
        <v>2.02</v>
      </c>
      <c r="H8" s="12">
        <v>343.4</v>
      </c>
    </row>
    <row r="9" spans="1:11" ht="22.8" customHeight="1" x14ac:dyDescent="0.25">
      <c r="A9" s="6" t="s">
        <v>20</v>
      </c>
      <c r="B9" s="6" t="s">
        <v>45</v>
      </c>
      <c r="C9" s="6" t="s">
        <v>18</v>
      </c>
      <c r="D9" s="6" t="s">
        <v>11</v>
      </c>
      <c r="E9" s="6" t="s">
        <v>52</v>
      </c>
      <c r="F9" s="6" t="s">
        <v>53</v>
      </c>
      <c r="G9" s="12">
        <v>2.02</v>
      </c>
      <c r="H9" s="12">
        <v>343.4</v>
      </c>
    </row>
    <row r="10" spans="1:11" ht="22.8" customHeight="1" x14ac:dyDescent="0.25">
      <c r="A10" s="6" t="s">
        <v>21</v>
      </c>
      <c r="B10" s="6" t="s">
        <v>45</v>
      </c>
      <c r="C10" s="6" t="s">
        <v>22</v>
      </c>
      <c r="D10" s="6" t="s">
        <v>11</v>
      </c>
      <c r="E10" s="6" t="s">
        <v>54</v>
      </c>
      <c r="F10" s="6" t="s">
        <v>55</v>
      </c>
      <c r="G10" s="12">
        <v>2.02</v>
      </c>
      <c r="H10" s="12">
        <v>353.5</v>
      </c>
    </row>
    <row r="11" spans="1:11" ht="22.8" customHeight="1" x14ac:dyDescent="0.25">
      <c r="A11" s="6" t="s">
        <v>23</v>
      </c>
      <c r="B11" s="6" t="s">
        <v>45</v>
      </c>
      <c r="C11" s="6" t="s">
        <v>22</v>
      </c>
      <c r="D11" s="6" t="s">
        <v>11</v>
      </c>
      <c r="E11" s="6" t="s">
        <v>54</v>
      </c>
      <c r="F11" s="6" t="s">
        <v>55</v>
      </c>
      <c r="G11" s="12">
        <v>2.02</v>
      </c>
      <c r="H11" s="12">
        <v>353.5</v>
      </c>
    </row>
    <row r="12" spans="1:11" ht="22.8" customHeight="1" x14ac:dyDescent="0.25">
      <c r="A12" s="6" t="s">
        <v>24</v>
      </c>
      <c r="B12" s="6" t="s">
        <v>45</v>
      </c>
      <c r="C12" s="6" t="s">
        <v>22</v>
      </c>
      <c r="D12" s="6" t="s">
        <v>11</v>
      </c>
      <c r="E12" s="6" t="s">
        <v>54</v>
      </c>
      <c r="F12" s="6" t="s">
        <v>55</v>
      </c>
      <c r="G12" s="12">
        <v>2.02</v>
      </c>
      <c r="H12" s="12">
        <v>353.5</v>
      </c>
    </row>
    <row r="13" spans="1:11" ht="22.8" customHeight="1" x14ac:dyDescent="0.25">
      <c r="A13" s="6" t="s">
        <v>25</v>
      </c>
      <c r="B13" s="6" t="s">
        <v>45</v>
      </c>
      <c r="C13" s="6" t="s">
        <v>22</v>
      </c>
      <c r="D13" s="6" t="s">
        <v>11</v>
      </c>
      <c r="E13" s="6" t="s">
        <v>56</v>
      </c>
      <c r="F13" s="6" t="s">
        <v>57</v>
      </c>
      <c r="G13" s="12">
        <v>2.02</v>
      </c>
      <c r="H13" s="12">
        <v>373.7</v>
      </c>
    </row>
    <row r="14" spans="1:11" ht="22.8" customHeight="1" x14ac:dyDescent="0.25">
      <c r="A14" s="6" t="s">
        <v>26</v>
      </c>
      <c r="B14" s="6" t="s">
        <v>45</v>
      </c>
      <c r="C14" s="6" t="s">
        <v>27</v>
      </c>
      <c r="D14" s="6" t="s">
        <v>11</v>
      </c>
      <c r="E14" s="6" t="s">
        <v>58</v>
      </c>
      <c r="F14" s="6" t="s">
        <v>59</v>
      </c>
      <c r="G14" s="12">
        <v>2.02</v>
      </c>
      <c r="H14" s="12">
        <v>333.3</v>
      </c>
    </row>
    <row r="15" spans="1:11" ht="22.8" customHeight="1" x14ac:dyDescent="0.25">
      <c r="A15" s="6" t="s">
        <v>28</v>
      </c>
      <c r="B15" s="6" t="s">
        <v>45</v>
      </c>
      <c r="C15" s="6" t="s">
        <v>27</v>
      </c>
      <c r="D15" s="6" t="s">
        <v>11</v>
      </c>
      <c r="E15" s="6" t="s">
        <v>58</v>
      </c>
      <c r="F15" s="6" t="s">
        <v>59</v>
      </c>
      <c r="G15" s="12">
        <v>2.02</v>
      </c>
      <c r="H15" s="12">
        <v>333.3</v>
      </c>
    </row>
    <row r="16" spans="1:11" ht="22.8" customHeight="1" x14ac:dyDescent="0.25">
      <c r="A16" s="6" t="s">
        <v>29</v>
      </c>
      <c r="B16" s="6" t="s">
        <v>45</v>
      </c>
      <c r="C16" s="6" t="s">
        <v>27</v>
      </c>
      <c r="D16" s="6" t="s">
        <v>11</v>
      </c>
      <c r="E16" s="6" t="s">
        <v>52</v>
      </c>
      <c r="F16" s="6" t="s">
        <v>53</v>
      </c>
      <c r="G16" s="12">
        <v>2.02</v>
      </c>
      <c r="H16" s="12">
        <v>343.4</v>
      </c>
    </row>
    <row r="17" spans="1:8" ht="22.8" customHeight="1" x14ac:dyDescent="0.25">
      <c r="A17" s="6" t="s">
        <v>30</v>
      </c>
      <c r="B17" s="6" t="s">
        <v>45</v>
      </c>
      <c r="C17" s="6" t="s">
        <v>31</v>
      </c>
      <c r="D17" s="6" t="s">
        <v>11</v>
      </c>
      <c r="E17" s="6" t="s">
        <v>52</v>
      </c>
      <c r="F17" s="6" t="s">
        <v>53</v>
      </c>
      <c r="G17" s="12">
        <v>2.02</v>
      </c>
      <c r="H17" s="12">
        <v>343.4</v>
      </c>
    </row>
    <row r="18" spans="1:8" ht="22.8" customHeight="1" x14ac:dyDescent="0.25">
      <c r="A18" s="6" t="s">
        <v>32</v>
      </c>
      <c r="B18" s="6" t="s">
        <v>45</v>
      </c>
      <c r="C18" s="6" t="s">
        <v>31</v>
      </c>
      <c r="D18" s="6" t="s">
        <v>11</v>
      </c>
      <c r="E18" s="6" t="s">
        <v>52</v>
      </c>
      <c r="F18" s="6" t="s">
        <v>53</v>
      </c>
      <c r="G18" s="12">
        <v>2.02</v>
      </c>
      <c r="H18" s="12">
        <v>343.4</v>
      </c>
    </row>
    <row r="19" spans="1:8" ht="22.8" customHeight="1" x14ac:dyDescent="0.25">
      <c r="A19" s="6" t="s">
        <v>33</v>
      </c>
      <c r="B19" s="6" t="s">
        <v>45</v>
      </c>
      <c r="C19" s="6" t="s">
        <v>31</v>
      </c>
      <c r="D19" s="6" t="s">
        <v>11</v>
      </c>
      <c r="E19" s="6" t="s">
        <v>52</v>
      </c>
      <c r="F19" s="6" t="s">
        <v>53</v>
      </c>
      <c r="G19" s="12">
        <v>2.02</v>
      </c>
      <c r="H19" s="12">
        <v>343.4</v>
      </c>
    </row>
    <row r="20" spans="1:8" ht="22.8" customHeight="1" x14ac:dyDescent="0.25">
      <c r="A20" s="13"/>
      <c r="B20" s="13"/>
      <c r="C20" s="13"/>
      <c r="D20" s="13"/>
      <c r="E20" s="13"/>
      <c r="F20" s="14">
        <v>3440</v>
      </c>
      <c r="H20" s="15">
        <v>6948.8</v>
      </c>
    </row>
    <row r="21" spans="1:8" x14ac:dyDescent="0.25">
      <c r="A21" s="7"/>
      <c r="B21" s="7"/>
      <c r="C21" s="7"/>
      <c r="D21" s="7"/>
      <c r="E21" s="7"/>
      <c r="F21" s="7"/>
    </row>
    <row r="22" spans="1:8" ht="22.8" customHeight="1" x14ac:dyDescent="0.25">
      <c r="A22" s="6" t="s">
        <v>60</v>
      </c>
      <c r="B22" s="6" t="s">
        <v>45</v>
      </c>
      <c r="C22" s="6" t="s">
        <v>10</v>
      </c>
      <c r="D22" s="6" t="s">
        <v>61</v>
      </c>
      <c r="E22" s="6" t="s">
        <v>62</v>
      </c>
      <c r="F22" s="6" t="s">
        <v>63</v>
      </c>
      <c r="G22" s="12">
        <v>2.02</v>
      </c>
      <c r="H22" s="12">
        <v>509.04</v>
      </c>
    </row>
    <row r="23" spans="1:8" ht="22.8" customHeight="1" x14ac:dyDescent="0.25">
      <c r="A23" s="6" t="s">
        <v>64</v>
      </c>
      <c r="B23" s="6" t="s">
        <v>45</v>
      </c>
      <c r="C23" s="6" t="s">
        <v>10</v>
      </c>
      <c r="D23" s="6" t="s">
        <v>61</v>
      </c>
      <c r="E23" s="6" t="s">
        <v>62</v>
      </c>
      <c r="F23" s="6" t="s">
        <v>63</v>
      </c>
      <c r="G23" s="12">
        <v>2.02</v>
      </c>
      <c r="H23" s="12">
        <v>509.04</v>
      </c>
    </row>
    <row r="24" spans="1:8" ht="22.8" customHeight="1" x14ac:dyDescent="0.25">
      <c r="A24" s="6" t="s">
        <v>65</v>
      </c>
      <c r="B24" s="6" t="s">
        <v>45</v>
      </c>
      <c r="C24" s="6" t="s">
        <v>10</v>
      </c>
      <c r="D24" s="6" t="s">
        <v>61</v>
      </c>
      <c r="E24" s="6" t="s">
        <v>62</v>
      </c>
      <c r="F24" s="6" t="s">
        <v>63</v>
      </c>
      <c r="G24" s="12">
        <v>2.02</v>
      </c>
      <c r="H24" s="12">
        <v>509.04</v>
      </c>
    </row>
    <row r="25" spans="1:8" ht="22.8" customHeight="1" x14ac:dyDescent="0.25">
      <c r="A25" s="6" t="s">
        <v>66</v>
      </c>
      <c r="B25" s="6" t="s">
        <v>45</v>
      </c>
      <c r="C25" s="6" t="s">
        <v>10</v>
      </c>
      <c r="D25" s="6" t="s">
        <v>61</v>
      </c>
      <c r="E25" s="6" t="s">
        <v>67</v>
      </c>
      <c r="F25" s="6" t="s">
        <v>68</v>
      </c>
      <c r="G25" s="12">
        <v>2.02</v>
      </c>
      <c r="H25" s="12">
        <v>521.16</v>
      </c>
    </row>
    <row r="26" spans="1:8" ht="22.8" customHeight="1" x14ac:dyDescent="0.25">
      <c r="A26" s="6" t="s">
        <v>69</v>
      </c>
      <c r="B26" s="6" t="s">
        <v>45</v>
      </c>
      <c r="C26" s="6" t="s">
        <v>14</v>
      </c>
      <c r="D26" s="6" t="s">
        <v>61</v>
      </c>
      <c r="E26" s="6" t="s">
        <v>70</v>
      </c>
      <c r="F26" s="6" t="s">
        <v>71</v>
      </c>
      <c r="G26" s="12">
        <v>2.02</v>
      </c>
      <c r="H26" s="12">
        <v>466.62</v>
      </c>
    </row>
    <row r="27" spans="1:8" ht="22.8" customHeight="1" x14ac:dyDescent="0.25">
      <c r="A27" s="6" t="s">
        <v>72</v>
      </c>
      <c r="B27" s="6" t="s">
        <v>45</v>
      </c>
      <c r="C27" s="6" t="s">
        <v>14</v>
      </c>
      <c r="D27" s="6" t="s">
        <v>61</v>
      </c>
      <c r="E27" s="6" t="s">
        <v>70</v>
      </c>
      <c r="F27" s="6" t="s">
        <v>71</v>
      </c>
      <c r="G27" s="12">
        <v>2.02</v>
      </c>
      <c r="H27" s="12">
        <v>466.62</v>
      </c>
    </row>
    <row r="28" spans="1:8" ht="22.8" customHeight="1" x14ac:dyDescent="0.25">
      <c r="A28" s="6" t="s">
        <v>73</v>
      </c>
      <c r="B28" s="6" t="s">
        <v>45</v>
      </c>
      <c r="C28" s="6" t="s">
        <v>14</v>
      </c>
      <c r="D28" s="6" t="s">
        <v>61</v>
      </c>
      <c r="E28" s="6" t="s">
        <v>70</v>
      </c>
      <c r="F28" s="6" t="s">
        <v>71</v>
      </c>
      <c r="G28" s="12">
        <v>2.02</v>
      </c>
      <c r="H28" s="12">
        <v>466.62</v>
      </c>
    </row>
    <row r="29" spans="1:8" ht="22.8" customHeight="1" x14ac:dyDescent="0.25">
      <c r="A29" s="6" t="s">
        <v>74</v>
      </c>
      <c r="B29" s="6" t="s">
        <v>45</v>
      </c>
      <c r="C29" s="6" t="s">
        <v>14</v>
      </c>
      <c r="D29" s="6" t="s">
        <v>61</v>
      </c>
      <c r="E29" s="6" t="s">
        <v>70</v>
      </c>
      <c r="F29" s="6" t="s">
        <v>71</v>
      </c>
      <c r="G29" s="12">
        <v>2.02</v>
      </c>
      <c r="H29" s="12">
        <v>466.62</v>
      </c>
    </row>
    <row r="30" spans="1:8" ht="22.8" customHeight="1" x14ac:dyDescent="0.25">
      <c r="A30" s="6" t="s">
        <v>75</v>
      </c>
      <c r="B30" s="6" t="s">
        <v>45</v>
      </c>
      <c r="C30" s="6" t="s">
        <v>14</v>
      </c>
      <c r="D30" s="6" t="s">
        <v>61</v>
      </c>
      <c r="E30" s="6" t="s">
        <v>70</v>
      </c>
      <c r="F30" s="6" t="s">
        <v>71</v>
      </c>
      <c r="G30" s="12">
        <v>2.02</v>
      </c>
      <c r="H30" s="12">
        <v>466.62</v>
      </c>
    </row>
    <row r="31" spans="1:8" ht="22.8" customHeight="1" x14ac:dyDescent="0.25">
      <c r="A31" s="6" t="s">
        <v>76</v>
      </c>
      <c r="B31" s="6" t="s">
        <v>45</v>
      </c>
      <c r="C31" s="6" t="s">
        <v>14</v>
      </c>
      <c r="D31" s="6" t="s">
        <v>61</v>
      </c>
      <c r="E31" s="6" t="s">
        <v>70</v>
      </c>
      <c r="F31" s="6" t="s">
        <v>71</v>
      </c>
      <c r="G31" s="12">
        <v>2.02</v>
      </c>
      <c r="H31" s="12">
        <v>466.62</v>
      </c>
    </row>
    <row r="32" spans="1:8" ht="22.8" customHeight="1" x14ac:dyDescent="0.25">
      <c r="A32" s="6" t="s">
        <v>77</v>
      </c>
      <c r="B32" s="6" t="s">
        <v>45</v>
      </c>
      <c r="C32" s="6" t="s">
        <v>14</v>
      </c>
      <c r="D32" s="6" t="s">
        <v>61</v>
      </c>
      <c r="E32" s="6" t="s">
        <v>70</v>
      </c>
      <c r="F32" s="6" t="s">
        <v>71</v>
      </c>
      <c r="G32" s="12">
        <v>2.02</v>
      </c>
      <c r="H32" s="12">
        <v>466.62</v>
      </c>
    </row>
    <row r="33" spans="1:8" ht="22.8" customHeight="1" x14ac:dyDescent="0.25">
      <c r="A33" s="6" t="s">
        <v>78</v>
      </c>
      <c r="B33" s="6" t="s">
        <v>45</v>
      </c>
      <c r="C33" s="6" t="s">
        <v>14</v>
      </c>
      <c r="D33" s="6" t="s">
        <v>61</v>
      </c>
      <c r="E33" s="6" t="s">
        <v>70</v>
      </c>
      <c r="F33" s="6" t="s">
        <v>71</v>
      </c>
      <c r="G33" s="12">
        <v>2.02</v>
      </c>
      <c r="H33" s="12">
        <v>466.62</v>
      </c>
    </row>
    <row r="34" spans="1:8" ht="22.8" customHeight="1" x14ac:dyDescent="0.25">
      <c r="A34" s="6" t="s">
        <v>79</v>
      </c>
      <c r="B34" s="6" t="s">
        <v>45</v>
      </c>
      <c r="C34" s="6" t="s">
        <v>14</v>
      </c>
      <c r="D34" s="6" t="s">
        <v>61</v>
      </c>
      <c r="E34" s="6" t="s">
        <v>70</v>
      </c>
      <c r="F34" s="6" t="s">
        <v>71</v>
      </c>
      <c r="G34" s="12">
        <v>2.02</v>
      </c>
      <c r="H34" s="12">
        <v>466.62</v>
      </c>
    </row>
    <row r="35" spans="1:8" ht="22.8" customHeight="1" x14ac:dyDescent="0.25">
      <c r="A35" s="6" t="s">
        <v>80</v>
      </c>
      <c r="B35" s="6" t="s">
        <v>45</v>
      </c>
      <c r="C35" s="6" t="s">
        <v>14</v>
      </c>
      <c r="D35" s="6" t="s">
        <v>61</v>
      </c>
      <c r="E35" s="6" t="s">
        <v>81</v>
      </c>
      <c r="F35" s="6" t="s">
        <v>82</v>
      </c>
      <c r="G35" s="12">
        <v>2.02</v>
      </c>
      <c r="H35" s="12">
        <v>478.74</v>
      </c>
    </row>
    <row r="36" spans="1:8" ht="22.8" customHeight="1" x14ac:dyDescent="0.25">
      <c r="A36" s="6" t="s">
        <v>83</v>
      </c>
      <c r="B36" s="6" t="s">
        <v>45</v>
      </c>
      <c r="C36" s="6" t="s">
        <v>18</v>
      </c>
      <c r="D36" s="6" t="s">
        <v>61</v>
      </c>
      <c r="E36" s="6" t="s">
        <v>84</v>
      </c>
      <c r="F36" s="6" t="s">
        <v>85</v>
      </c>
      <c r="G36" s="12">
        <v>2.02</v>
      </c>
      <c r="H36" s="12">
        <v>351.48</v>
      </c>
    </row>
    <row r="37" spans="1:8" ht="22.8" customHeight="1" x14ac:dyDescent="0.25">
      <c r="A37" s="6" t="s">
        <v>86</v>
      </c>
      <c r="B37" s="6" t="s">
        <v>45</v>
      </c>
      <c r="C37" s="6" t="s">
        <v>18</v>
      </c>
      <c r="D37" s="6" t="s">
        <v>61</v>
      </c>
      <c r="E37" s="6" t="s">
        <v>84</v>
      </c>
      <c r="F37" s="6" t="s">
        <v>85</v>
      </c>
      <c r="G37" s="12">
        <v>2.02</v>
      </c>
      <c r="H37" s="12">
        <v>351.48</v>
      </c>
    </row>
    <row r="38" spans="1:8" ht="22.8" customHeight="1" x14ac:dyDescent="0.25">
      <c r="A38" s="6" t="s">
        <v>87</v>
      </c>
      <c r="B38" s="6" t="s">
        <v>45</v>
      </c>
      <c r="C38" s="6" t="s">
        <v>18</v>
      </c>
      <c r="D38" s="6" t="s">
        <v>61</v>
      </c>
      <c r="E38" s="6" t="s">
        <v>84</v>
      </c>
      <c r="F38" s="6" t="s">
        <v>85</v>
      </c>
      <c r="G38" s="12">
        <v>2.02</v>
      </c>
      <c r="H38" s="12">
        <v>351.48</v>
      </c>
    </row>
    <row r="39" spans="1:8" ht="24" customHeight="1" x14ac:dyDescent="0.25">
      <c r="A39" s="6" t="s">
        <v>88</v>
      </c>
      <c r="B39" s="6" t="s">
        <v>45</v>
      </c>
      <c r="C39" s="6" t="s">
        <v>18</v>
      </c>
      <c r="D39" s="6" t="s">
        <v>61</v>
      </c>
      <c r="E39" s="6" t="s">
        <v>84</v>
      </c>
      <c r="F39" s="6" t="s">
        <v>85</v>
      </c>
      <c r="G39" s="12">
        <v>2.02</v>
      </c>
      <c r="H39" s="12">
        <v>351.48</v>
      </c>
    </row>
    <row r="40" spans="1:8" ht="22.8" customHeight="1" x14ac:dyDescent="0.25">
      <c r="A40" s="6" t="s">
        <v>89</v>
      </c>
      <c r="B40" s="6" t="s">
        <v>45</v>
      </c>
      <c r="C40" s="6" t="s">
        <v>18</v>
      </c>
      <c r="D40" s="6" t="s">
        <v>61</v>
      </c>
      <c r="E40" s="6" t="s">
        <v>84</v>
      </c>
      <c r="F40" s="6" t="s">
        <v>85</v>
      </c>
      <c r="G40" s="12">
        <v>2.02</v>
      </c>
      <c r="H40" s="12">
        <v>351.48</v>
      </c>
    </row>
    <row r="41" spans="1:8" ht="22.8" customHeight="1" x14ac:dyDescent="0.25">
      <c r="A41" s="6" t="s">
        <v>90</v>
      </c>
      <c r="B41" s="6" t="s">
        <v>45</v>
      </c>
      <c r="C41" s="6" t="s">
        <v>18</v>
      </c>
      <c r="D41" s="6" t="s">
        <v>61</v>
      </c>
      <c r="E41" s="6" t="s">
        <v>84</v>
      </c>
      <c r="F41" s="6" t="s">
        <v>85</v>
      </c>
      <c r="G41" s="12">
        <v>2.02</v>
      </c>
      <c r="H41" s="12">
        <v>351.48</v>
      </c>
    </row>
    <row r="42" spans="1:8" ht="22.8" customHeight="1" x14ac:dyDescent="0.25">
      <c r="A42" s="6" t="s">
        <v>91</v>
      </c>
      <c r="B42" s="6" t="s">
        <v>45</v>
      </c>
      <c r="C42" s="6" t="s">
        <v>18</v>
      </c>
      <c r="D42" s="6" t="s">
        <v>61</v>
      </c>
      <c r="E42" s="6" t="s">
        <v>84</v>
      </c>
      <c r="F42" s="6" t="s">
        <v>85</v>
      </c>
      <c r="G42" s="12">
        <v>2.02</v>
      </c>
      <c r="H42" s="12">
        <v>351.48</v>
      </c>
    </row>
    <row r="43" spans="1:8" ht="22.8" customHeight="1" x14ac:dyDescent="0.25">
      <c r="A43" s="6" t="s">
        <v>92</v>
      </c>
      <c r="B43" s="6" t="s">
        <v>45</v>
      </c>
      <c r="C43" s="6" t="s">
        <v>18</v>
      </c>
      <c r="D43" s="6" t="s">
        <v>61</v>
      </c>
      <c r="E43" s="6" t="s">
        <v>93</v>
      </c>
      <c r="F43" s="6" t="s">
        <v>94</v>
      </c>
      <c r="G43" s="12">
        <v>2.02</v>
      </c>
      <c r="H43" s="12">
        <v>375.72</v>
      </c>
    </row>
    <row r="44" spans="1:8" ht="22.8" customHeight="1" x14ac:dyDescent="0.25">
      <c r="A44" s="6" t="s">
        <v>95</v>
      </c>
      <c r="B44" s="6" t="s">
        <v>45</v>
      </c>
      <c r="C44" s="6" t="s">
        <v>22</v>
      </c>
      <c r="D44" s="6" t="s">
        <v>61</v>
      </c>
      <c r="E44" s="6" t="s">
        <v>96</v>
      </c>
      <c r="F44" s="6" t="s">
        <v>97</v>
      </c>
      <c r="G44" s="12">
        <v>2.02</v>
      </c>
      <c r="H44" s="12">
        <v>387.84</v>
      </c>
    </row>
    <row r="45" spans="1:8" ht="22.8" customHeight="1" x14ac:dyDescent="0.25">
      <c r="A45" s="6" t="s">
        <v>98</v>
      </c>
      <c r="B45" s="6" t="s">
        <v>45</v>
      </c>
      <c r="C45" s="6" t="s">
        <v>22</v>
      </c>
      <c r="D45" s="6" t="s">
        <v>61</v>
      </c>
      <c r="E45" s="6" t="s">
        <v>96</v>
      </c>
      <c r="F45" s="6" t="s">
        <v>97</v>
      </c>
      <c r="G45" s="12">
        <v>2.02</v>
      </c>
      <c r="H45" s="12">
        <v>387.84</v>
      </c>
    </row>
    <row r="46" spans="1:8" ht="22.8" customHeight="1" x14ac:dyDescent="0.25">
      <c r="A46" s="6" t="s">
        <v>99</v>
      </c>
      <c r="B46" s="6" t="s">
        <v>45</v>
      </c>
      <c r="C46" s="6" t="s">
        <v>22</v>
      </c>
      <c r="D46" s="6" t="s">
        <v>61</v>
      </c>
      <c r="E46" s="6" t="s">
        <v>96</v>
      </c>
      <c r="F46" s="6" t="s">
        <v>97</v>
      </c>
      <c r="G46" s="12">
        <v>2.02</v>
      </c>
      <c r="H46" s="12">
        <v>387.84</v>
      </c>
    </row>
    <row r="47" spans="1:8" ht="22.8" customHeight="1" x14ac:dyDescent="0.25">
      <c r="A47" s="6" t="s">
        <v>100</v>
      </c>
      <c r="B47" s="6" t="s">
        <v>45</v>
      </c>
      <c r="C47" s="6" t="s">
        <v>22</v>
      </c>
      <c r="D47" s="6" t="s">
        <v>61</v>
      </c>
      <c r="E47" s="6" t="s">
        <v>96</v>
      </c>
      <c r="F47" s="6" t="s">
        <v>97</v>
      </c>
      <c r="G47" s="12">
        <v>2.02</v>
      </c>
      <c r="H47" s="12">
        <v>387.84</v>
      </c>
    </row>
    <row r="48" spans="1:8" ht="22.8" customHeight="1" x14ac:dyDescent="0.25">
      <c r="A48" s="6" t="s">
        <v>101</v>
      </c>
      <c r="B48" s="6" t="s">
        <v>45</v>
      </c>
      <c r="C48" s="6" t="s">
        <v>22</v>
      </c>
      <c r="D48" s="6" t="s">
        <v>61</v>
      </c>
      <c r="E48" s="6" t="s">
        <v>96</v>
      </c>
      <c r="F48" s="6" t="s">
        <v>97</v>
      </c>
      <c r="G48" s="12">
        <v>2.02</v>
      </c>
      <c r="H48" s="12">
        <v>387.84</v>
      </c>
    </row>
    <row r="49" spans="1:8" ht="22.8" customHeight="1" x14ac:dyDescent="0.25">
      <c r="A49" s="6" t="s">
        <v>102</v>
      </c>
      <c r="B49" s="6" t="s">
        <v>45</v>
      </c>
      <c r="C49" s="6" t="s">
        <v>22</v>
      </c>
      <c r="D49" s="6" t="s">
        <v>61</v>
      </c>
      <c r="E49" s="6" t="s">
        <v>96</v>
      </c>
      <c r="F49" s="6" t="s">
        <v>97</v>
      </c>
      <c r="G49" s="12">
        <v>2.02</v>
      </c>
      <c r="H49" s="12">
        <v>387.84</v>
      </c>
    </row>
    <row r="50" spans="1:8" ht="22.8" customHeight="1" x14ac:dyDescent="0.25">
      <c r="A50" s="6" t="s">
        <v>103</v>
      </c>
      <c r="B50" s="6" t="s">
        <v>45</v>
      </c>
      <c r="C50" s="6" t="s">
        <v>22</v>
      </c>
      <c r="D50" s="6" t="s">
        <v>61</v>
      </c>
      <c r="E50" s="6" t="s">
        <v>96</v>
      </c>
      <c r="F50" s="6" t="s">
        <v>97</v>
      </c>
      <c r="G50" s="12">
        <v>2.02</v>
      </c>
      <c r="H50" s="12">
        <v>387.84</v>
      </c>
    </row>
    <row r="51" spans="1:8" ht="22.8" customHeight="1" x14ac:dyDescent="0.25">
      <c r="A51" s="6" t="s">
        <v>104</v>
      </c>
      <c r="B51" s="6" t="s">
        <v>45</v>
      </c>
      <c r="C51" s="6" t="s">
        <v>22</v>
      </c>
      <c r="D51" s="6" t="s">
        <v>61</v>
      </c>
      <c r="E51" s="6" t="s">
        <v>96</v>
      </c>
      <c r="F51" s="6" t="s">
        <v>97</v>
      </c>
      <c r="G51" s="12">
        <v>2.02</v>
      </c>
      <c r="H51" s="12">
        <v>387.84</v>
      </c>
    </row>
    <row r="52" spans="1:8" ht="22.8" customHeight="1" x14ac:dyDescent="0.25">
      <c r="A52" s="6" t="s">
        <v>105</v>
      </c>
      <c r="B52" s="6" t="s">
        <v>45</v>
      </c>
      <c r="C52" s="6" t="s">
        <v>22</v>
      </c>
      <c r="D52" s="6" t="s">
        <v>61</v>
      </c>
      <c r="E52" s="6" t="s">
        <v>96</v>
      </c>
      <c r="F52" s="6" t="s">
        <v>97</v>
      </c>
      <c r="G52" s="12">
        <v>2.02</v>
      </c>
      <c r="H52" s="12">
        <v>387.84</v>
      </c>
    </row>
    <row r="53" spans="1:8" ht="22.8" customHeight="1" x14ac:dyDescent="0.25">
      <c r="A53" s="6" t="s">
        <v>106</v>
      </c>
      <c r="B53" s="6" t="s">
        <v>45</v>
      </c>
      <c r="C53" s="6" t="s">
        <v>22</v>
      </c>
      <c r="D53" s="6" t="s">
        <v>61</v>
      </c>
      <c r="E53" s="6" t="s">
        <v>96</v>
      </c>
      <c r="F53" s="6" t="s">
        <v>97</v>
      </c>
      <c r="G53" s="12">
        <v>2.02</v>
      </c>
      <c r="H53" s="12">
        <v>387.84</v>
      </c>
    </row>
    <row r="54" spans="1:8" ht="22.8" customHeight="1" x14ac:dyDescent="0.25">
      <c r="A54" s="6" t="s">
        <v>107</v>
      </c>
      <c r="B54" s="6" t="s">
        <v>45</v>
      </c>
      <c r="C54" s="6" t="s">
        <v>22</v>
      </c>
      <c r="D54" s="6" t="s">
        <v>61</v>
      </c>
      <c r="E54" s="6" t="s">
        <v>96</v>
      </c>
      <c r="F54" s="6" t="s">
        <v>97</v>
      </c>
      <c r="G54" s="12">
        <v>2.02</v>
      </c>
      <c r="H54" s="12">
        <v>387.84</v>
      </c>
    </row>
    <row r="55" spans="1:8" ht="22.8" customHeight="1" x14ac:dyDescent="0.25">
      <c r="A55" s="6" t="s">
        <v>108</v>
      </c>
      <c r="B55" s="6" t="s">
        <v>45</v>
      </c>
      <c r="C55" s="6" t="s">
        <v>22</v>
      </c>
      <c r="D55" s="6" t="s">
        <v>61</v>
      </c>
      <c r="E55" s="6" t="s">
        <v>109</v>
      </c>
      <c r="F55" s="6" t="s">
        <v>110</v>
      </c>
      <c r="G55" s="12">
        <v>2.02</v>
      </c>
      <c r="H55" s="12">
        <v>393.9</v>
      </c>
    </row>
    <row r="56" spans="1:8" ht="22.8" customHeight="1" x14ac:dyDescent="0.25">
      <c r="A56" s="6" t="s">
        <v>111</v>
      </c>
      <c r="B56" s="6" t="s">
        <v>45</v>
      </c>
      <c r="C56" s="6" t="s">
        <v>27</v>
      </c>
      <c r="D56" s="6" t="s">
        <v>61</v>
      </c>
      <c r="E56" s="6" t="s">
        <v>112</v>
      </c>
      <c r="F56" s="6" t="s">
        <v>113</v>
      </c>
      <c r="G56" s="12">
        <v>2.02</v>
      </c>
      <c r="H56" s="12">
        <v>339.36</v>
      </c>
    </row>
    <row r="57" spans="1:8" ht="22.8" customHeight="1" x14ac:dyDescent="0.25">
      <c r="A57" s="6" t="s">
        <v>114</v>
      </c>
      <c r="B57" s="6" t="s">
        <v>45</v>
      </c>
      <c r="C57" s="6" t="s">
        <v>27</v>
      </c>
      <c r="D57" s="6" t="s">
        <v>61</v>
      </c>
      <c r="E57" s="6" t="s">
        <v>112</v>
      </c>
      <c r="F57" s="6" t="s">
        <v>113</v>
      </c>
      <c r="G57" s="12">
        <v>2.02</v>
      </c>
      <c r="H57" s="12">
        <v>339.36</v>
      </c>
    </row>
    <row r="58" spans="1:8" ht="22.8" customHeight="1" x14ac:dyDescent="0.25">
      <c r="A58" s="6" t="s">
        <v>115</v>
      </c>
      <c r="B58" s="6" t="s">
        <v>45</v>
      </c>
      <c r="C58" s="6" t="s">
        <v>27</v>
      </c>
      <c r="D58" s="6" t="s">
        <v>61</v>
      </c>
      <c r="E58" s="6" t="s">
        <v>112</v>
      </c>
      <c r="F58" s="6" t="s">
        <v>113</v>
      </c>
      <c r="G58" s="12">
        <v>2.02</v>
      </c>
      <c r="H58" s="12">
        <v>339.36</v>
      </c>
    </row>
    <row r="59" spans="1:8" ht="22.8" customHeight="1" x14ac:dyDescent="0.25">
      <c r="A59" s="6" t="s">
        <v>116</v>
      </c>
      <c r="B59" s="6" t="s">
        <v>45</v>
      </c>
      <c r="C59" s="6" t="s">
        <v>27</v>
      </c>
      <c r="D59" s="6" t="s">
        <v>61</v>
      </c>
      <c r="E59" s="6" t="s">
        <v>112</v>
      </c>
      <c r="F59" s="6" t="s">
        <v>113</v>
      </c>
      <c r="G59" s="12">
        <v>2.02</v>
      </c>
      <c r="H59" s="12">
        <v>339.36</v>
      </c>
    </row>
    <row r="60" spans="1:8" ht="22.8" customHeight="1" x14ac:dyDescent="0.25">
      <c r="A60" s="6" t="s">
        <v>117</v>
      </c>
      <c r="B60" s="6" t="s">
        <v>45</v>
      </c>
      <c r="C60" s="6" t="s">
        <v>27</v>
      </c>
      <c r="D60" s="6" t="s">
        <v>61</v>
      </c>
      <c r="E60" s="6" t="s">
        <v>112</v>
      </c>
      <c r="F60" s="6" t="s">
        <v>113</v>
      </c>
      <c r="G60" s="12">
        <v>2.02</v>
      </c>
      <c r="H60" s="12">
        <v>339.36</v>
      </c>
    </row>
    <row r="61" spans="1:8" ht="22.8" customHeight="1" x14ac:dyDescent="0.25">
      <c r="A61" s="6" t="s">
        <v>118</v>
      </c>
      <c r="B61" s="6" t="s">
        <v>45</v>
      </c>
      <c r="C61" s="6" t="s">
        <v>27</v>
      </c>
      <c r="D61" s="6" t="s">
        <v>61</v>
      </c>
      <c r="E61" s="6" t="s">
        <v>112</v>
      </c>
      <c r="F61" s="6" t="s">
        <v>113</v>
      </c>
      <c r="G61" s="12">
        <v>2.02</v>
      </c>
      <c r="H61" s="12">
        <v>339.36</v>
      </c>
    </row>
    <row r="62" spans="1:8" ht="22.8" customHeight="1" x14ac:dyDescent="0.25">
      <c r="A62" s="6" t="s">
        <v>119</v>
      </c>
      <c r="B62" s="6" t="s">
        <v>45</v>
      </c>
      <c r="C62" s="6" t="s">
        <v>27</v>
      </c>
      <c r="D62" s="6" t="s">
        <v>61</v>
      </c>
      <c r="E62" s="6" t="s">
        <v>112</v>
      </c>
      <c r="F62" s="6" t="s">
        <v>113</v>
      </c>
      <c r="G62" s="12">
        <v>2.02</v>
      </c>
      <c r="H62" s="12">
        <v>339.36</v>
      </c>
    </row>
    <row r="63" spans="1:8" ht="22.8" customHeight="1" x14ac:dyDescent="0.25">
      <c r="A63" s="6" t="s">
        <v>120</v>
      </c>
      <c r="B63" s="6" t="s">
        <v>45</v>
      </c>
      <c r="C63" s="6" t="s">
        <v>27</v>
      </c>
      <c r="D63" s="6" t="s">
        <v>61</v>
      </c>
      <c r="E63" s="6" t="s">
        <v>112</v>
      </c>
      <c r="F63" s="6" t="s">
        <v>113</v>
      </c>
      <c r="G63" s="12">
        <v>2.02</v>
      </c>
      <c r="H63" s="12">
        <v>339.36</v>
      </c>
    </row>
    <row r="64" spans="1:8" ht="22.8" customHeight="1" x14ac:dyDescent="0.25">
      <c r="A64" s="6" t="s">
        <v>121</v>
      </c>
      <c r="B64" s="6" t="s">
        <v>45</v>
      </c>
      <c r="C64" s="6" t="s">
        <v>27</v>
      </c>
      <c r="D64" s="6" t="s">
        <v>61</v>
      </c>
      <c r="E64" s="6" t="s">
        <v>112</v>
      </c>
      <c r="F64" s="6" t="s">
        <v>113</v>
      </c>
      <c r="G64" s="12">
        <v>2.02</v>
      </c>
      <c r="H64" s="12">
        <v>339.36</v>
      </c>
    </row>
    <row r="65" spans="1:8" ht="22.8" customHeight="1" x14ac:dyDescent="0.25">
      <c r="A65" s="6" t="s">
        <v>122</v>
      </c>
      <c r="B65" s="6" t="s">
        <v>45</v>
      </c>
      <c r="C65" s="6" t="s">
        <v>27</v>
      </c>
      <c r="D65" s="6" t="s">
        <v>61</v>
      </c>
      <c r="E65" s="6" t="s">
        <v>112</v>
      </c>
      <c r="F65" s="6" t="s">
        <v>113</v>
      </c>
      <c r="G65" s="12">
        <v>2.02</v>
      </c>
      <c r="H65" s="12">
        <v>339.36</v>
      </c>
    </row>
    <row r="66" spans="1:8" ht="22.8" customHeight="1" x14ac:dyDescent="0.25">
      <c r="A66" s="6" t="s">
        <v>123</v>
      </c>
      <c r="B66" s="6" t="s">
        <v>45</v>
      </c>
      <c r="C66" s="6" t="s">
        <v>27</v>
      </c>
      <c r="D66" s="6" t="s">
        <v>61</v>
      </c>
      <c r="E66" s="6" t="s">
        <v>112</v>
      </c>
      <c r="F66" s="6" t="s">
        <v>113</v>
      </c>
      <c r="G66" s="12">
        <v>2.02</v>
      </c>
      <c r="H66" s="12">
        <v>339.36</v>
      </c>
    </row>
    <row r="67" spans="1:8" ht="22.8" customHeight="1" x14ac:dyDescent="0.25">
      <c r="A67" s="6" t="s">
        <v>124</v>
      </c>
      <c r="B67" s="6" t="s">
        <v>45</v>
      </c>
      <c r="C67" s="6" t="s">
        <v>27</v>
      </c>
      <c r="D67" s="6" t="s">
        <v>61</v>
      </c>
      <c r="E67" s="6" t="s">
        <v>112</v>
      </c>
      <c r="F67" s="6" t="s">
        <v>113</v>
      </c>
      <c r="G67" s="12">
        <v>2.02</v>
      </c>
      <c r="H67" s="12">
        <v>339.36</v>
      </c>
    </row>
    <row r="68" spans="1:8" ht="22.8" customHeight="1" x14ac:dyDescent="0.25">
      <c r="A68" s="6" t="s">
        <v>125</v>
      </c>
      <c r="B68" s="6" t="s">
        <v>45</v>
      </c>
      <c r="C68" s="6" t="s">
        <v>27</v>
      </c>
      <c r="D68" s="6" t="s">
        <v>61</v>
      </c>
      <c r="E68" s="6" t="s">
        <v>112</v>
      </c>
      <c r="F68" s="6" t="s">
        <v>113</v>
      </c>
      <c r="G68" s="12">
        <v>2.02</v>
      </c>
      <c r="H68" s="12">
        <v>339.36</v>
      </c>
    </row>
    <row r="69" spans="1:8" ht="22.8" customHeight="1" x14ac:dyDescent="0.25">
      <c r="A69" s="6" t="s">
        <v>126</v>
      </c>
      <c r="B69" s="6" t="s">
        <v>45</v>
      </c>
      <c r="C69" s="6" t="s">
        <v>27</v>
      </c>
      <c r="D69" s="6" t="s">
        <v>61</v>
      </c>
      <c r="E69" s="6" t="s">
        <v>112</v>
      </c>
      <c r="F69" s="6" t="s">
        <v>113</v>
      </c>
      <c r="G69" s="12">
        <v>2.02</v>
      </c>
      <c r="H69" s="12">
        <v>339.36</v>
      </c>
    </row>
    <row r="70" spans="1:8" ht="22.8" customHeight="1" x14ac:dyDescent="0.25">
      <c r="A70" s="6" t="s">
        <v>127</v>
      </c>
      <c r="B70" s="6" t="s">
        <v>45</v>
      </c>
      <c r="C70" s="6" t="s">
        <v>27</v>
      </c>
      <c r="D70" s="6" t="s">
        <v>61</v>
      </c>
      <c r="E70" s="6" t="s">
        <v>128</v>
      </c>
      <c r="F70" s="6" t="s">
        <v>129</v>
      </c>
      <c r="G70" s="12">
        <v>2.02</v>
      </c>
      <c r="H70" s="12">
        <v>369.66</v>
      </c>
    </row>
    <row r="71" spans="1:8" ht="22.8" customHeight="1" x14ac:dyDescent="0.25">
      <c r="A71" s="6" t="s">
        <v>130</v>
      </c>
      <c r="B71" s="6" t="s">
        <v>45</v>
      </c>
      <c r="C71" s="6" t="s">
        <v>31</v>
      </c>
      <c r="D71" s="6" t="s">
        <v>61</v>
      </c>
      <c r="E71" s="6" t="s">
        <v>131</v>
      </c>
      <c r="F71" s="6" t="s">
        <v>132</v>
      </c>
      <c r="G71" s="12">
        <v>2.02</v>
      </c>
      <c r="H71" s="12">
        <v>315.12</v>
      </c>
    </row>
    <row r="72" spans="1:8" ht="22.8" customHeight="1" x14ac:dyDescent="0.25">
      <c r="A72" s="6" t="s">
        <v>133</v>
      </c>
      <c r="B72" s="6" t="s">
        <v>45</v>
      </c>
      <c r="C72" s="6" t="s">
        <v>31</v>
      </c>
      <c r="D72" s="6" t="s">
        <v>61</v>
      </c>
      <c r="E72" s="6" t="s">
        <v>131</v>
      </c>
      <c r="F72" s="6" t="s">
        <v>132</v>
      </c>
      <c r="G72" s="12">
        <v>2.02</v>
      </c>
      <c r="H72" s="12">
        <v>315.12</v>
      </c>
    </row>
    <row r="73" spans="1:8" ht="22.8" customHeight="1" x14ac:dyDescent="0.25">
      <c r="A73" s="6" t="s">
        <v>134</v>
      </c>
      <c r="B73" s="6" t="s">
        <v>45</v>
      </c>
      <c r="C73" s="6" t="s">
        <v>31</v>
      </c>
      <c r="D73" s="6" t="s">
        <v>61</v>
      </c>
      <c r="E73" s="6" t="s">
        <v>131</v>
      </c>
      <c r="F73" s="6" t="s">
        <v>132</v>
      </c>
      <c r="G73" s="12">
        <v>2.02</v>
      </c>
      <c r="H73" s="12">
        <v>315.12</v>
      </c>
    </row>
    <row r="74" spans="1:8" ht="22.8" customHeight="1" x14ac:dyDescent="0.25">
      <c r="A74" s="6" t="s">
        <v>135</v>
      </c>
      <c r="B74" s="6" t="s">
        <v>45</v>
      </c>
      <c r="C74" s="6" t="s">
        <v>31</v>
      </c>
      <c r="D74" s="6" t="s">
        <v>61</v>
      </c>
      <c r="E74" s="6" t="s">
        <v>131</v>
      </c>
      <c r="F74" s="6" t="s">
        <v>132</v>
      </c>
      <c r="G74" s="12">
        <v>2.02</v>
      </c>
      <c r="H74" s="12">
        <v>315.12</v>
      </c>
    </row>
    <row r="75" spans="1:8" ht="22.8" customHeight="1" x14ac:dyDescent="0.25">
      <c r="A75" s="6" t="s">
        <v>136</v>
      </c>
      <c r="B75" s="6" t="s">
        <v>45</v>
      </c>
      <c r="C75" s="6" t="s">
        <v>31</v>
      </c>
      <c r="D75" s="6" t="s">
        <v>61</v>
      </c>
      <c r="E75" s="6" t="s">
        <v>131</v>
      </c>
      <c r="F75" s="6" t="s">
        <v>132</v>
      </c>
      <c r="G75" s="12">
        <v>2.02</v>
      </c>
      <c r="H75" s="12">
        <v>315.12</v>
      </c>
    </row>
    <row r="76" spans="1:8" ht="22.8" customHeight="1" x14ac:dyDescent="0.25">
      <c r="A76" s="6" t="s">
        <v>137</v>
      </c>
      <c r="B76" s="6" t="s">
        <v>45</v>
      </c>
      <c r="C76" s="6" t="s">
        <v>31</v>
      </c>
      <c r="D76" s="6" t="s">
        <v>61</v>
      </c>
      <c r="E76" s="6" t="s">
        <v>131</v>
      </c>
      <c r="F76" s="6" t="s">
        <v>132</v>
      </c>
      <c r="G76" s="12">
        <v>2.02</v>
      </c>
      <c r="H76" s="12">
        <v>315.12</v>
      </c>
    </row>
    <row r="77" spans="1:8" ht="22.8" customHeight="1" x14ac:dyDescent="0.25">
      <c r="A77" s="6" t="s">
        <v>138</v>
      </c>
      <c r="B77" s="6" t="s">
        <v>45</v>
      </c>
      <c r="C77" s="6" t="s">
        <v>31</v>
      </c>
      <c r="D77" s="6" t="s">
        <v>61</v>
      </c>
      <c r="E77" s="6" t="s">
        <v>131</v>
      </c>
      <c r="F77" s="6" t="s">
        <v>132</v>
      </c>
      <c r="G77" s="12">
        <v>2.02</v>
      </c>
      <c r="H77" s="12">
        <v>315.12</v>
      </c>
    </row>
    <row r="78" spans="1:8" ht="22.8" customHeight="1" x14ac:dyDescent="0.25">
      <c r="A78" s="6" t="s">
        <v>139</v>
      </c>
      <c r="B78" s="6" t="s">
        <v>45</v>
      </c>
      <c r="C78" s="6" t="s">
        <v>31</v>
      </c>
      <c r="D78" s="6" t="s">
        <v>61</v>
      </c>
      <c r="E78" s="6" t="s">
        <v>131</v>
      </c>
      <c r="F78" s="6" t="s">
        <v>132</v>
      </c>
      <c r="G78" s="12">
        <v>2.02</v>
      </c>
      <c r="H78" s="12">
        <v>315.12</v>
      </c>
    </row>
    <row r="79" spans="1:8" ht="22.8" customHeight="1" x14ac:dyDescent="0.25">
      <c r="A79" s="6" t="s">
        <v>140</v>
      </c>
      <c r="B79" s="6" t="s">
        <v>45</v>
      </c>
      <c r="C79" s="6" t="s">
        <v>31</v>
      </c>
      <c r="D79" s="6" t="s">
        <v>61</v>
      </c>
      <c r="E79" s="6" t="s">
        <v>141</v>
      </c>
      <c r="F79" s="6" t="s">
        <v>59</v>
      </c>
      <c r="G79" s="12">
        <v>2.02</v>
      </c>
      <c r="H79" s="12">
        <v>333.3</v>
      </c>
    </row>
    <row r="80" spans="1:8" ht="22.8" customHeight="1" x14ac:dyDescent="0.25">
      <c r="A80" s="16"/>
      <c r="B80" s="16"/>
      <c r="C80" s="16"/>
      <c r="D80" s="16"/>
      <c r="E80" s="16"/>
      <c r="F80" s="14">
        <v>10989</v>
      </c>
      <c r="H80" s="15">
        <v>22197.78</v>
      </c>
    </row>
    <row r="82" spans="1:8" ht="22.8" customHeight="1" x14ac:dyDescent="0.25">
      <c r="A82" s="6" t="s">
        <v>34</v>
      </c>
      <c r="B82" s="6" t="s">
        <v>142</v>
      </c>
      <c r="C82" s="6" t="s">
        <v>35</v>
      </c>
      <c r="D82" s="6" t="s">
        <v>11</v>
      </c>
      <c r="E82" s="6" t="s">
        <v>143</v>
      </c>
      <c r="F82" s="6" t="s">
        <v>144</v>
      </c>
      <c r="G82" s="12">
        <v>2.14</v>
      </c>
      <c r="H82" s="12">
        <v>278.2</v>
      </c>
    </row>
    <row r="83" spans="1:8" ht="22.8" customHeight="1" x14ac:dyDescent="0.25">
      <c r="A83" s="6" t="s">
        <v>36</v>
      </c>
      <c r="B83" s="6" t="s">
        <v>142</v>
      </c>
      <c r="C83" s="6" t="s">
        <v>35</v>
      </c>
      <c r="D83" s="6" t="s">
        <v>11</v>
      </c>
      <c r="E83" s="6" t="s">
        <v>143</v>
      </c>
      <c r="F83" s="6" t="s">
        <v>144</v>
      </c>
      <c r="G83" s="12">
        <v>2.14</v>
      </c>
      <c r="H83" s="12">
        <v>278.2</v>
      </c>
    </row>
    <row r="84" spans="1:8" ht="22.8" customHeight="1" x14ac:dyDescent="0.25">
      <c r="A84" s="6" t="s">
        <v>37</v>
      </c>
      <c r="B84" s="6" t="s">
        <v>142</v>
      </c>
      <c r="C84" s="6" t="s">
        <v>35</v>
      </c>
      <c r="D84" s="6" t="s">
        <v>11</v>
      </c>
      <c r="E84" s="6" t="s">
        <v>143</v>
      </c>
      <c r="F84" s="6" t="s">
        <v>144</v>
      </c>
      <c r="G84" s="12">
        <v>2.14</v>
      </c>
      <c r="H84" s="12">
        <v>278.2</v>
      </c>
    </row>
    <row r="85" spans="1:8" ht="22.8" customHeight="1" x14ac:dyDescent="0.25">
      <c r="A85" s="6" t="s">
        <v>38</v>
      </c>
      <c r="B85" s="6" t="s">
        <v>142</v>
      </c>
      <c r="C85" s="6" t="s">
        <v>35</v>
      </c>
      <c r="D85" s="6" t="s">
        <v>11</v>
      </c>
      <c r="E85" s="6" t="s">
        <v>143</v>
      </c>
      <c r="F85" s="6" t="s">
        <v>144</v>
      </c>
      <c r="G85" s="12">
        <v>2.14</v>
      </c>
      <c r="H85" s="12">
        <v>278.2</v>
      </c>
    </row>
    <row r="86" spans="1:8" ht="22.8" customHeight="1" x14ac:dyDescent="0.25">
      <c r="A86" s="6" t="s">
        <v>39</v>
      </c>
      <c r="B86" s="6" t="s">
        <v>142</v>
      </c>
      <c r="C86" s="6" t="s">
        <v>40</v>
      </c>
      <c r="D86" s="6" t="s">
        <v>11</v>
      </c>
      <c r="E86" s="6" t="s">
        <v>143</v>
      </c>
      <c r="F86" s="6" t="s">
        <v>144</v>
      </c>
      <c r="G86" s="12">
        <v>2.14</v>
      </c>
      <c r="H86" s="12">
        <v>278.2</v>
      </c>
    </row>
    <row r="87" spans="1:8" ht="22.8" customHeight="1" x14ac:dyDescent="0.25">
      <c r="A87" s="6" t="s">
        <v>41</v>
      </c>
      <c r="B87" s="6" t="s">
        <v>142</v>
      </c>
      <c r="C87" s="6" t="s">
        <v>40</v>
      </c>
      <c r="D87" s="6" t="s">
        <v>11</v>
      </c>
      <c r="E87" s="6" t="s">
        <v>143</v>
      </c>
      <c r="F87" s="6" t="s">
        <v>144</v>
      </c>
      <c r="G87" s="12">
        <v>2.14</v>
      </c>
      <c r="H87" s="12">
        <v>278.2</v>
      </c>
    </row>
    <row r="88" spans="1:8" ht="22.8" customHeight="1" x14ac:dyDescent="0.25">
      <c r="A88" s="6" t="s">
        <v>42</v>
      </c>
      <c r="B88" s="6" t="s">
        <v>142</v>
      </c>
      <c r="C88" s="6" t="s">
        <v>40</v>
      </c>
      <c r="D88" s="6" t="s">
        <v>11</v>
      </c>
      <c r="E88" s="6" t="s">
        <v>143</v>
      </c>
      <c r="F88" s="6" t="s">
        <v>144</v>
      </c>
      <c r="G88" s="12">
        <v>2.14</v>
      </c>
      <c r="H88" s="12">
        <v>278.2</v>
      </c>
    </row>
    <row r="89" spans="1:8" ht="22.8" customHeight="1" x14ac:dyDescent="0.25">
      <c r="A89" s="6" t="s">
        <v>43</v>
      </c>
      <c r="B89" s="6" t="s">
        <v>142</v>
      </c>
      <c r="C89" s="6" t="s">
        <v>40</v>
      </c>
      <c r="D89" s="6" t="s">
        <v>11</v>
      </c>
      <c r="E89" s="6" t="s">
        <v>145</v>
      </c>
      <c r="F89" s="6" t="s">
        <v>146</v>
      </c>
      <c r="G89" s="12">
        <v>2.14</v>
      </c>
      <c r="H89" s="12">
        <v>267.5</v>
      </c>
    </row>
    <row r="90" spans="1:8" ht="22.8" customHeight="1" x14ac:dyDescent="0.25">
      <c r="A90" s="16"/>
      <c r="B90" s="16"/>
      <c r="C90" s="16"/>
      <c r="D90" s="16"/>
      <c r="E90" s="16"/>
      <c r="F90" s="14">
        <v>1035</v>
      </c>
      <c r="H90" s="15">
        <v>2214.9</v>
      </c>
    </row>
    <row r="92" spans="1:8" ht="22.8" customHeight="1" x14ac:dyDescent="0.25">
      <c r="A92" s="6" t="s">
        <v>147</v>
      </c>
      <c r="B92" s="6" t="s">
        <v>142</v>
      </c>
      <c r="C92" s="6" t="s">
        <v>35</v>
      </c>
      <c r="D92" s="6" t="s">
        <v>61</v>
      </c>
      <c r="E92" s="6" t="s">
        <v>148</v>
      </c>
      <c r="F92" s="6" t="s">
        <v>149</v>
      </c>
      <c r="G92" s="12">
        <v>2.14</v>
      </c>
      <c r="H92" s="12">
        <v>276.06</v>
      </c>
    </row>
    <row r="93" spans="1:8" ht="22.8" customHeight="1" x14ac:dyDescent="0.25">
      <c r="A93" s="6" t="s">
        <v>150</v>
      </c>
      <c r="B93" s="6" t="s">
        <v>142</v>
      </c>
      <c r="C93" s="6" t="s">
        <v>35</v>
      </c>
      <c r="D93" s="6" t="s">
        <v>61</v>
      </c>
      <c r="E93" s="6" t="s">
        <v>148</v>
      </c>
      <c r="F93" s="6" t="s">
        <v>149</v>
      </c>
      <c r="G93" s="12">
        <v>2.14</v>
      </c>
      <c r="H93" s="12">
        <v>276.06</v>
      </c>
    </row>
    <row r="94" spans="1:8" ht="22.8" customHeight="1" x14ac:dyDescent="0.25">
      <c r="A94" s="6" t="s">
        <v>151</v>
      </c>
      <c r="B94" s="6" t="s">
        <v>142</v>
      </c>
      <c r="C94" s="6" t="s">
        <v>35</v>
      </c>
      <c r="D94" s="6" t="s">
        <v>61</v>
      </c>
      <c r="E94" s="6" t="s">
        <v>148</v>
      </c>
      <c r="F94" s="6" t="s">
        <v>149</v>
      </c>
      <c r="G94" s="12">
        <v>2.14</v>
      </c>
      <c r="H94" s="12">
        <v>276.06</v>
      </c>
    </row>
    <row r="95" spans="1:8" ht="22.8" customHeight="1" x14ac:dyDescent="0.25">
      <c r="A95" s="6" t="s">
        <v>152</v>
      </c>
      <c r="B95" s="6" t="s">
        <v>142</v>
      </c>
      <c r="C95" s="6" t="s">
        <v>35</v>
      </c>
      <c r="D95" s="6" t="s">
        <v>61</v>
      </c>
      <c r="E95" s="6" t="s">
        <v>148</v>
      </c>
      <c r="F95" s="6" t="s">
        <v>149</v>
      </c>
      <c r="G95" s="12">
        <v>2.14</v>
      </c>
      <c r="H95" s="12">
        <v>276.06</v>
      </c>
    </row>
    <row r="96" spans="1:8" ht="22.8" customHeight="1" x14ac:dyDescent="0.25">
      <c r="A96" s="6" t="s">
        <v>153</v>
      </c>
      <c r="B96" s="6" t="s">
        <v>142</v>
      </c>
      <c r="C96" s="6" t="s">
        <v>35</v>
      </c>
      <c r="D96" s="6" t="s">
        <v>61</v>
      </c>
      <c r="E96" s="6" t="s">
        <v>148</v>
      </c>
      <c r="F96" s="6" t="s">
        <v>149</v>
      </c>
      <c r="G96" s="12">
        <v>2.14</v>
      </c>
      <c r="H96" s="12">
        <v>276.06</v>
      </c>
    </row>
    <row r="97" spans="1:8" ht="22.8" customHeight="1" x14ac:dyDescent="0.25">
      <c r="A97" s="6" t="s">
        <v>154</v>
      </c>
      <c r="B97" s="6" t="s">
        <v>142</v>
      </c>
      <c r="C97" s="6" t="s">
        <v>35</v>
      </c>
      <c r="D97" s="6" t="s">
        <v>61</v>
      </c>
      <c r="E97" s="6" t="s">
        <v>148</v>
      </c>
      <c r="F97" s="6" t="s">
        <v>149</v>
      </c>
      <c r="G97" s="12">
        <v>2.14</v>
      </c>
      <c r="H97" s="12">
        <v>276.06</v>
      </c>
    </row>
    <row r="98" spans="1:8" ht="22.8" customHeight="1" x14ac:dyDescent="0.25">
      <c r="A98" s="6" t="s">
        <v>155</v>
      </c>
      <c r="B98" s="6" t="s">
        <v>142</v>
      </c>
      <c r="C98" s="6" t="s">
        <v>35</v>
      </c>
      <c r="D98" s="6" t="s">
        <v>61</v>
      </c>
      <c r="E98" s="6" t="s">
        <v>148</v>
      </c>
      <c r="F98" s="6" t="s">
        <v>149</v>
      </c>
      <c r="G98" s="12">
        <v>2.14</v>
      </c>
      <c r="H98" s="12">
        <v>276.06</v>
      </c>
    </row>
    <row r="99" spans="1:8" ht="22.8" customHeight="1" x14ac:dyDescent="0.25">
      <c r="A99" s="6" t="s">
        <v>156</v>
      </c>
      <c r="B99" s="6" t="s">
        <v>142</v>
      </c>
      <c r="C99" s="6" t="s">
        <v>35</v>
      </c>
      <c r="D99" s="6" t="s">
        <v>61</v>
      </c>
      <c r="E99" s="6" t="s">
        <v>148</v>
      </c>
      <c r="F99" s="6" t="s">
        <v>149</v>
      </c>
      <c r="G99" s="12">
        <v>2.14</v>
      </c>
      <c r="H99" s="12">
        <v>276.06</v>
      </c>
    </row>
    <row r="100" spans="1:8" ht="22.8" customHeight="1" x14ac:dyDescent="0.25">
      <c r="A100" s="6" t="s">
        <v>157</v>
      </c>
      <c r="B100" s="6" t="s">
        <v>142</v>
      </c>
      <c r="C100" s="6" t="s">
        <v>35</v>
      </c>
      <c r="D100" s="6" t="s">
        <v>61</v>
      </c>
      <c r="E100" s="6" t="s">
        <v>148</v>
      </c>
      <c r="F100" s="6" t="s">
        <v>149</v>
      </c>
      <c r="G100" s="12">
        <v>2.14</v>
      </c>
      <c r="H100" s="12">
        <v>276.06</v>
      </c>
    </row>
    <row r="101" spans="1:8" ht="22.8" customHeight="1" x14ac:dyDescent="0.25">
      <c r="A101" s="6" t="s">
        <v>158</v>
      </c>
      <c r="B101" s="6" t="s">
        <v>142</v>
      </c>
      <c r="C101" s="6" t="s">
        <v>35</v>
      </c>
      <c r="D101" s="6" t="s">
        <v>61</v>
      </c>
      <c r="E101" s="6" t="s">
        <v>148</v>
      </c>
      <c r="F101" s="6" t="s">
        <v>149</v>
      </c>
      <c r="G101" s="12">
        <v>2.14</v>
      </c>
      <c r="H101" s="12">
        <v>276.06</v>
      </c>
    </row>
    <row r="102" spans="1:8" ht="22.8" customHeight="1" x14ac:dyDescent="0.25">
      <c r="A102" s="6" t="s">
        <v>159</v>
      </c>
      <c r="B102" s="6" t="s">
        <v>142</v>
      </c>
      <c r="C102" s="6" t="s">
        <v>35</v>
      </c>
      <c r="D102" s="6" t="s">
        <v>61</v>
      </c>
      <c r="E102" s="6" t="s">
        <v>160</v>
      </c>
      <c r="F102" s="6" t="s">
        <v>161</v>
      </c>
      <c r="G102" s="12">
        <v>2.14</v>
      </c>
      <c r="H102" s="12">
        <v>256.8</v>
      </c>
    </row>
    <row r="103" spans="1:8" ht="22.8" customHeight="1" x14ac:dyDescent="0.25">
      <c r="A103" s="6" t="s">
        <v>162</v>
      </c>
      <c r="B103" s="6" t="s">
        <v>142</v>
      </c>
      <c r="C103" s="6" t="s">
        <v>40</v>
      </c>
      <c r="D103" s="6" t="s">
        <v>61</v>
      </c>
      <c r="E103" s="6" t="s">
        <v>148</v>
      </c>
      <c r="F103" s="6" t="s">
        <v>149</v>
      </c>
      <c r="G103" s="12">
        <v>2.14</v>
      </c>
      <c r="H103" s="12">
        <v>276.06</v>
      </c>
    </row>
    <row r="104" spans="1:8" ht="22.8" customHeight="1" x14ac:dyDescent="0.25">
      <c r="A104" s="6" t="s">
        <v>163</v>
      </c>
      <c r="B104" s="6" t="s">
        <v>142</v>
      </c>
      <c r="C104" s="6" t="s">
        <v>40</v>
      </c>
      <c r="D104" s="6" t="s">
        <v>61</v>
      </c>
      <c r="E104" s="6" t="s">
        <v>148</v>
      </c>
      <c r="F104" s="6" t="s">
        <v>149</v>
      </c>
      <c r="G104" s="12">
        <v>2.14</v>
      </c>
      <c r="H104" s="12">
        <v>276.06</v>
      </c>
    </row>
    <row r="105" spans="1:8" ht="22.8" customHeight="1" x14ac:dyDescent="0.25">
      <c r="A105" s="6" t="s">
        <v>164</v>
      </c>
      <c r="B105" s="6" t="s">
        <v>142</v>
      </c>
      <c r="C105" s="6" t="s">
        <v>40</v>
      </c>
      <c r="D105" s="6" t="s">
        <v>61</v>
      </c>
      <c r="E105" s="6" t="s">
        <v>148</v>
      </c>
      <c r="F105" s="6" t="s">
        <v>149</v>
      </c>
      <c r="G105" s="12">
        <v>2.14</v>
      </c>
      <c r="H105" s="12">
        <v>276.06</v>
      </c>
    </row>
    <row r="106" spans="1:8" ht="22.8" customHeight="1" x14ac:dyDescent="0.25">
      <c r="A106" s="6" t="s">
        <v>165</v>
      </c>
      <c r="B106" s="6" t="s">
        <v>142</v>
      </c>
      <c r="C106" s="6" t="s">
        <v>40</v>
      </c>
      <c r="D106" s="6" t="s">
        <v>61</v>
      </c>
      <c r="E106" s="6" t="s">
        <v>148</v>
      </c>
      <c r="F106" s="6" t="s">
        <v>149</v>
      </c>
      <c r="G106" s="12">
        <v>2.14</v>
      </c>
      <c r="H106" s="12">
        <v>276.06</v>
      </c>
    </row>
    <row r="107" spans="1:8" ht="22.8" customHeight="1" x14ac:dyDescent="0.25">
      <c r="A107" s="6" t="s">
        <v>166</v>
      </c>
      <c r="B107" s="6" t="s">
        <v>142</v>
      </c>
      <c r="C107" s="6" t="s">
        <v>40</v>
      </c>
      <c r="D107" s="6" t="s">
        <v>61</v>
      </c>
      <c r="E107" s="6" t="s">
        <v>148</v>
      </c>
      <c r="F107" s="6" t="s">
        <v>149</v>
      </c>
      <c r="G107" s="12">
        <v>2.14</v>
      </c>
      <c r="H107" s="12">
        <v>276.06</v>
      </c>
    </row>
    <row r="108" spans="1:8" ht="22.8" customHeight="1" x14ac:dyDescent="0.25">
      <c r="A108" s="6" t="s">
        <v>167</v>
      </c>
      <c r="B108" s="6" t="s">
        <v>142</v>
      </c>
      <c r="C108" s="6" t="s">
        <v>40</v>
      </c>
      <c r="D108" s="6" t="s">
        <v>61</v>
      </c>
      <c r="E108" s="6" t="s">
        <v>148</v>
      </c>
      <c r="F108" s="6" t="s">
        <v>149</v>
      </c>
      <c r="G108" s="12">
        <v>2.14</v>
      </c>
      <c r="H108" s="12">
        <v>276.06</v>
      </c>
    </row>
    <row r="109" spans="1:8" ht="22.8" customHeight="1" x14ac:dyDescent="0.25">
      <c r="A109" s="6" t="s">
        <v>168</v>
      </c>
      <c r="B109" s="6" t="s">
        <v>142</v>
      </c>
      <c r="C109" s="6" t="s">
        <v>40</v>
      </c>
      <c r="D109" s="6" t="s">
        <v>61</v>
      </c>
      <c r="E109" s="6" t="s">
        <v>148</v>
      </c>
      <c r="F109" s="6" t="s">
        <v>149</v>
      </c>
      <c r="G109" s="12">
        <v>2.14</v>
      </c>
      <c r="H109" s="12">
        <v>276.06</v>
      </c>
    </row>
    <row r="110" spans="1:8" ht="22.8" customHeight="1" x14ac:dyDescent="0.25">
      <c r="A110" s="6" t="s">
        <v>169</v>
      </c>
      <c r="B110" s="6" t="s">
        <v>142</v>
      </c>
      <c r="C110" s="6" t="s">
        <v>40</v>
      </c>
      <c r="D110" s="6" t="s">
        <v>61</v>
      </c>
      <c r="E110" s="6" t="s">
        <v>148</v>
      </c>
      <c r="F110" s="6" t="s">
        <v>149</v>
      </c>
      <c r="G110" s="12">
        <v>2.14</v>
      </c>
      <c r="H110" s="12">
        <v>276.06</v>
      </c>
    </row>
    <row r="111" spans="1:8" ht="22.8" customHeight="1" x14ac:dyDescent="0.25">
      <c r="A111" s="6" t="s">
        <v>170</v>
      </c>
      <c r="B111" s="6" t="s">
        <v>142</v>
      </c>
      <c r="C111" s="6" t="s">
        <v>40</v>
      </c>
      <c r="D111" s="6" t="s">
        <v>61</v>
      </c>
      <c r="E111" s="6" t="s">
        <v>148</v>
      </c>
      <c r="F111" s="6" t="s">
        <v>149</v>
      </c>
      <c r="G111" s="12">
        <v>2.14</v>
      </c>
      <c r="H111" s="12">
        <v>276.06</v>
      </c>
    </row>
    <row r="112" spans="1:8" ht="22.8" customHeight="1" x14ac:dyDescent="0.25">
      <c r="A112" s="6" t="s">
        <v>171</v>
      </c>
      <c r="B112" s="6" t="s">
        <v>142</v>
      </c>
      <c r="C112" s="6" t="s">
        <v>40</v>
      </c>
      <c r="D112" s="6" t="s">
        <v>61</v>
      </c>
      <c r="E112" s="6" t="s">
        <v>148</v>
      </c>
      <c r="F112" s="6" t="s">
        <v>149</v>
      </c>
      <c r="G112" s="12">
        <v>2.14</v>
      </c>
      <c r="H112" s="12">
        <v>276.06</v>
      </c>
    </row>
    <row r="113" spans="1:8" ht="22.8" customHeight="1" x14ac:dyDescent="0.25">
      <c r="A113" s="6" t="s">
        <v>172</v>
      </c>
      <c r="B113" s="6" t="s">
        <v>142</v>
      </c>
      <c r="C113" s="6" t="s">
        <v>40</v>
      </c>
      <c r="D113" s="6" t="s">
        <v>61</v>
      </c>
      <c r="E113" s="6" t="s">
        <v>173</v>
      </c>
      <c r="F113" s="6" t="s">
        <v>174</v>
      </c>
      <c r="G113" s="12">
        <v>2.14</v>
      </c>
      <c r="H113" s="12">
        <v>243.96</v>
      </c>
    </row>
    <row r="114" spans="1:8" ht="22.8" customHeight="1" x14ac:dyDescent="0.25">
      <c r="A114" s="16"/>
      <c r="B114" s="16"/>
      <c r="C114" s="16"/>
      <c r="D114" s="16"/>
      <c r="E114" s="16"/>
      <c r="F114" s="14">
        <v>2814</v>
      </c>
      <c r="H114" s="15">
        <v>6021.96</v>
      </c>
    </row>
    <row r="116" spans="1:8" x14ac:dyDescent="0.25">
      <c r="A116" s="17" t="s">
        <v>175</v>
      </c>
      <c r="B116" s="17"/>
      <c r="C116" s="17"/>
      <c r="D116" s="17"/>
      <c r="E116" s="17"/>
      <c r="F116" s="18">
        <v>18278</v>
      </c>
      <c r="G116" s="17"/>
      <c r="H116" s="15">
        <v>37383.440000000002</v>
      </c>
    </row>
  </sheetData>
  <pageMargins left="0.70866141732283472" right="0.70866141732283472" top="0.74803149606299213" bottom="0.74803149606299213" header="0.31496062992125978" footer="0.31496062992125978"/>
  <pageSetup paperSize="9" scale="81" orientation="portrait" horizont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4"/>
  <sheetViews>
    <sheetView workbookViewId="0">
      <pane ySplit="1" topLeftCell="A62" activePane="bottomLeft" state="frozen"/>
      <selection pane="bottomLeft" activeCell="D6" sqref="D6"/>
    </sheetView>
  </sheetViews>
  <sheetFormatPr defaultRowHeight="13.8" x14ac:dyDescent="0.25"/>
  <cols>
    <col min="1" max="1" width="12.5" style="8" customWidth="1"/>
    <col min="2" max="2" width="13.296875" style="8" customWidth="1"/>
    <col min="3" max="3" width="12.5" style="8" customWidth="1"/>
    <col min="4" max="4" width="16.69921875" style="8" customWidth="1"/>
    <col min="5" max="6" width="13.296875" style="8" customWidth="1"/>
    <col min="7" max="8" width="18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9" t="s">
        <v>6</v>
      </c>
      <c r="H1" s="19" t="s">
        <v>7</v>
      </c>
    </row>
    <row r="2" spans="1:8" x14ac:dyDescent="0.25">
      <c r="A2" s="8" t="s">
        <v>60</v>
      </c>
      <c r="B2" s="9">
        <v>25</v>
      </c>
      <c r="C2" s="9" t="s">
        <v>10</v>
      </c>
      <c r="D2" s="8" t="s">
        <v>61</v>
      </c>
      <c r="E2" s="10">
        <v>84</v>
      </c>
      <c r="F2" s="10">
        <v>252</v>
      </c>
      <c r="G2" s="12">
        <v>2.02</v>
      </c>
      <c r="H2" s="12">
        <v>509.04</v>
      </c>
    </row>
    <row r="3" spans="1:8" x14ac:dyDescent="0.25">
      <c r="A3" s="8" t="s">
        <v>64</v>
      </c>
      <c r="B3" s="9">
        <v>25</v>
      </c>
      <c r="C3" s="9" t="s">
        <v>10</v>
      </c>
      <c r="D3" s="8" t="s">
        <v>61</v>
      </c>
      <c r="E3" s="10">
        <v>84</v>
      </c>
      <c r="F3" s="10">
        <v>252</v>
      </c>
      <c r="G3" s="12">
        <v>2.02</v>
      </c>
      <c r="H3" s="12">
        <v>509.04</v>
      </c>
    </row>
    <row r="4" spans="1:8" x14ac:dyDescent="0.25">
      <c r="A4" s="8" t="s">
        <v>65</v>
      </c>
      <c r="B4" s="9">
        <v>25</v>
      </c>
      <c r="C4" s="9" t="s">
        <v>10</v>
      </c>
      <c r="D4" s="8" t="s">
        <v>61</v>
      </c>
      <c r="E4" s="10">
        <v>84</v>
      </c>
      <c r="F4" s="10">
        <v>252</v>
      </c>
      <c r="G4" s="12">
        <v>2.02</v>
      </c>
      <c r="H4" s="12">
        <v>509.04</v>
      </c>
    </row>
    <row r="5" spans="1:8" x14ac:dyDescent="0.25">
      <c r="A5" s="8" t="s">
        <v>66</v>
      </c>
      <c r="B5" s="9">
        <v>25</v>
      </c>
      <c r="C5" s="9" t="s">
        <v>10</v>
      </c>
      <c r="D5" s="8" t="s">
        <v>61</v>
      </c>
      <c r="E5" s="10">
        <v>86</v>
      </c>
      <c r="F5" s="10">
        <v>258</v>
      </c>
      <c r="G5" s="12">
        <v>2.02</v>
      </c>
      <c r="H5" s="12">
        <v>521.16</v>
      </c>
    </row>
    <row r="6" spans="1:8" x14ac:dyDescent="0.25">
      <c r="A6" s="8" t="s">
        <v>69</v>
      </c>
      <c r="B6" s="9">
        <v>25</v>
      </c>
      <c r="C6" s="9" t="s">
        <v>14</v>
      </c>
      <c r="D6" s="8" t="s">
        <v>61</v>
      </c>
      <c r="E6" s="10">
        <v>77</v>
      </c>
      <c r="F6" s="10">
        <v>231</v>
      </c>
      <c r="G6" s="12">
        <v>2.02</v>
      </c>
      <c r="H6" s="12">
        <v>466.62</v>
      </c>
    </row>
    <row r="7" spans="1:8" x14ac:dyDescent="0.25">
      <c r="A7" s="8" t="s">
        <v>72</v>
      </c>
      <c r="B7" s="9">
        <v>25</v>
      </c>
      <c r="C7" s="9" t="s">
        <v>14</v>
      </c>
      <c r="D7" s="8" t="s">
        <v>61</v>
      </c>
      <c r="E7" s="10">
        <v>77</v>
      </c>
      <c r="F7" s="10">
        <v>231</v>
      </c>
      <c r="G7" s="12">
        <v>2.02</v>
      </c>
      <c r="H7" s="12">
        <v>466.62</v>
      </c>
    </row>
    <row r="8" spans="1:8" x14ac:dyDescent="0.25">
      <c r="A8" s="8" t="s">
        <v>73</v>
      </c>
      <c r="B8" s="9">
        <v>25</v>
      </c>
      <c r="C8" s="9" t="s">
        <v>14</v>
      </c>
      <c r="D8" s="8" t="s">
        <v>61</v>
      </c>
      <c r="E8" s="10">
        <v>77</v>
      </c>
      <c r="F8" s="10">
        <v>231</v>
      </c>
      <c r="G8" s="12">
        <v>2.02</v>
      </c>
      <c r="H8" s="12">
        <v>466.62</v>
      </c>
    </row>
    <row r="9" spans="1:8" x14ac:dyDescent="0.25">
      <c r="A9" s="8" t="s">
        <v>74</v>
      </c>
      <c r="B9" s="9">
        <v>25</v>
      </c>
      <c r="C9" s="9" t="s">
        <v>14</v>
      </c>
      <c r="D9" s="8" t="s">
        <v>61</v>
      </c>
      <c r="E9" s="10">
        <v>77</v>
      </c>
      <c r="F9" s="10">
        <v>231</v>
      </c>
      <c r="G9" s="12">
        <v>2.02</v>
      </c>
      <c r="H9" s="12">
        <v>466.62</v>
      </c>
    </row>
    <row r="10" spans="1:8" x14ac:dyDescent="0.25">
      <c r="A10" s="8" t="s">
        <v>75</v>
      </c>
      <c r="B10" s="9">
        <v>25</v>
      </c>
      <c r="C10" s="9" t="s">
        <v>14</v>
      </c>
      <c r="D10" s="8" t="s">
        <v>61</v>
      </c>
      <c r="E10" s="10">
        <v>77</v>
      </c>
      <c r="F10" s="10">
        <v>231</v>
      </c>
      <c r="G10" s="12">
        <v>2.02</v>
      </c>
      <c r="H10" s="12">
        <v>466.62</v>
      </c>
    </row>
    <row r="11" spans="1:8" x14ac:dyDescent="0.25">
      <c r="A11" s="8" t="s">
        <v>76</v>
      </c>
      <c r="B11" s="9">
        <v>25</v>
      </c>
      <c r="C11" s="9" t="s">
        <v>14</v>
      </c>
      <c r="D11" s="8" t="s">
        <v>61</v>
      </c>
      <c r="E11" s="10">
        <v>77</v>
      </c>
      <c r="F11" s="10">
        <v>231</v>
      </c>
      <c r="G11" s="12">
        <v>2.02</v>
      </c>
      <c r="H11" s="12">
        <v>466.62</v>
      </c>
    </row>
    <row r="12" spans="1:8" x14ac:dyDescent="0.25">
      <c r="A12" s="8" t="s">
        <v>77</v>
      </c>
      <c r="B12" s="9">
        <v>25</v>
      </c>
      <c r="C12" s="9" t="s">
        <v>14</v>
      </c>
      <c r="D12" s="8" t="s">
        <v>61</v>
      </c>
      <c r="E12" s="10">
        <v>77</v>
      </c>
      <c r="F12" s="10">
        <v>231</v>
      </c>
      <c r="G12" s="12">
        <v>2.02</v>
      </c>
      <c r="H12" s="12">
        <v>466.62</v>
      </c>
    </row>
    <row r="13" spans="1:8" x14ac:dyDescent="0.25">
      <c r="A13" s="8" t="s">
        <v>78</v>
      </c>
      <c r="B13" s="9">
        <v>25</v>
      </c>
      <c r="C13" s="9" t="s">
        <v>14</v>
      </c>
      <c r="D13" s="8" t="s">
        <v>61</v>
      </c>
      <c r="E13" s="10">
        <v>77</v>
      </c>
      <c r="F13" s="10">
        <v>231</v>
      </c>
      <c r="G13" s="12">
        <v>2.02</v>
      </c>
      <c r="H13" s="12">
        <v>466.62</v>
      </c>
    </row>
    <row r="14" spans="1:8" x14ac:dyDescent="0.25">
      <c r="A14" s="8" t="s">
        <v>79</v>
      </c>
      <c r="B14" s="9">
        <v>25</v>
      </c>
      <c r="C14" s="9" t="s">
        <v>14</v>
      </c>
      <c r="D14" s="8" t="s">
        <v>61</v>
      </c>
      <c r="E14" s="10">
        <v>77</v>
      </c>
      <c r="F14" s="10">
        <v>231</v>
      </c>
      <c r="G14" s="12">
        <v>2.02</v>
      </c>
      <c r="H14" s="12">
        <v>466.62</v>
      </c>
    </row>
    <row r="15" spans="1:8" x14ac:dyDescent="0.25">
      <c r="A15" s="8" t="s">
        <v>80</v>
      </c>
      <c r="B15" s="9">
        <v>25</v>
      </c>
      <c r="C15" s="9" t="s">
        <v>14</v>
      </c>
      <c r="D15" s="8" t="s">
        <v>61</v>
      </c>
      <c r="E15" s="10">
        <v>79</v>
      </c>
      <c r="F15" s="10">
        <v>237</v>
      </c>
      <c r="G15" s="12">
        <v>2.02</v>
      </c>
      <c r="H15" s="12">
        <v>478.74</v>
      </c>
    </row>
    <row r="16" spans="1:8" x14ac:dyDescent="0.25">
      <c r="A16" s="8" t="s">
        <v>83</v>
      </c>
      <c r="B16" s="9">
        <v>25</v>
      </c>
      <c r="C16" s="9" t="s">
        <v>18</v>
      </c>
      <c r="D16" s="8" t="s">
        <v>61</v>
      </c>
      <c r="E16" s="10">
        <v>58</v>
      </c>
      <c r="F16" s="10">
        <v>174</v>
      </c>
      <c r="G16" s="12">
        <v>2.02</v>
      </c>
      <c r="H16" s="12">
        <v>351.48</v>
      </c>
    </row>
    <row r="17" spans="1:8" x14ac:dyDescent="0.25">
      <c r="A17" s="8" t="s">
        <v>86</v>
      </c>
      <c r="B17" s="9">
        <v>25</v>
      </c>
      <c r="C17" s="9" t="s">
        <v>18</v>
      </c>
      <c r="D17" s="8" t="s">
        <v>61</v>
      </c>
      <c r="E17" s="10">
        <v>58</v>
      </c>
      <c r="F17" s="10">
        <v>174</v>
      </c>
      <c r="G17" s="12">
        <v>2.02</v>
      </c>
      <c r="H17" s="12">
        <v>351.48</v>
      </c>
    </row>
    <row r="18" spans="1:8" x14ac:dyDescent="0.25">
      <c r="A18" s="8" t="s">
        <v>87</v>
      </c>
      <c r="B18" s="9">
        <v>25</v>
      </c>
      <c r="C18" s="9" t="s">
        <v>18</v>
      </c>
      <c r="D18" s="8" t="s">
        <v>61</v>
      </c>
      <c r="E18" s="10">
        <v>58</v>
      </c>
      <c r="F18" s="10">
        <v>174</v>
      </c>
      <c r="G18" s="12">
        <v>2.02</v>
      </c>
      <c r="H18" s="12">
        <v>351.48</v>
      </c>
    </row>
    <row r="19" spans="1:8" x14ac:dyDescent="0.25">
      <c r="A19" s="8" t="s">
        <v>88</v>
      </c>
      <c r="B19" s="9">
        <v>25</v>
      </c>
      <c r="C19" s="9" t="s">
        <v>18</v>
      </c>
      <c r="D19" s="8" t="s">
        <v>61</v>
      </c>
      <c r="E19" s="10">
        <v>58</v>
      </c>
      <c r="F19" s="10">
        <v>174</v>
      </c>
      <c r="G19" s="12">
        <v>2.02</v>
      </c>
      <c r="H19" s="12">
        <v>351.48</v>
      </c>
    </row>
    <row r="20" spans="1:8" x14ac:dyDescent="0.25">
      <c r="A20" s="8" t="s">
        <v>89</v>
      </c>
      <c r="B20" s="9">
        <v>25</v>
      </c>
      <c r="C20" s="9" t="s">
        <v>18</v>
      </c>
      <c r="D20" s="8" t="s">
        <v>61</v>
      </c>
      <c r="E20" s="10">
        <v>58</v>
      </c>
      <c r="F20" s="10">
        <v>174</v>
      </c>
      <c r="G20" s="12">
        <v>2.02</v>
      </c>
      <c r="H20" s="12">
        <v>351.48</v>
      </c>
    </row>
    <row r="21" spans="1:8" x14ac:dyDescent="0.25">
      <c r="A21" s="8" t="s">
        <v>90</v>
      </c>
      <c r="B21" s="9">
        <v>25</v>
      </c>
      <c r="C21" s="9" t="s">
        <v>18</v>
      </c>
      <c r="D21" s="8" t="s">
        <v>61</v>
      </c>
      <c r="E21" s="10">
        <v>58</v>
      </c>
      <c r="F21" s="10">
        <v>174</v>
      </c>
      <c r="G21" s="12">
        <v>2.02</v>
      </c>
      <c r="H21" s="12">
        <v>351.48</v>
      </c>
    </row>
    <row r="22" spans="1:8" x14ac:dyDescent="0.25">
      <c r="A22" s="8" t="s">
        <v>91</v>
      </c>
      <c r="B22" s="9">
        <v>25</v>
      </c>
      <c r="C22" s="9" t="s">
        <v>18</v>
      </c>
      <c r="D22" s="8" t="s">
        <v>61</v>
      </c>
      <c r="E22" s="10">
        <v>58</v>
      </c>
      <c r="F22" s="10">
        <v>174</v>
      </c>
      <c r="G22" s="12">
        <v>2.02</v>
      </c>
      <c r="H22" s="12">
        <v>351.48</v>
      </c>
    </row>
    <row r="23" spans="1:8" x14ac:dyDescent="0.25">
      <c r="A23" s="8" t="s">
        <v>92</v>
      </c>
      <c r="B23" s="9">
        <v>25</v>
      </c>
      <c r="C23" s="9" t="s">
        <v>18</v>
      </c>
      <c r="D23" s="8" t="s">
        <v>61</v>
      </c>
      <c r="E23" s="10">
        <v>62</v>
      </c>
      <c r="F23" s="10">
        <v>186</v>
      </c>
      <c r="G23" s="12">
        <v>2.02</v>
      </c>
      <c r="H23" s="12">
        <v>375.72</v>
      </c>
    </row>
    <row r="24" spans="1:8" x14ac:dyDescent="0.25">
      <c r="A24" s="8" t="s">
        <v>95</v>
      </c>
      <c r="B24" s="9">
        <v>25</v>
      </c>
      <c r="C24" s="9" t="s">
        <v>22</v>
      </c>
      <c r="D24" s="8" t="s">
        <v>61</v>
      </c>
      <c r="E24" s="10">
        <v>64</v>
      </c>
      <c r="F24" s="10">
        <v>192</v>
      </c>
      <c r="G24" s="12">
        <v>2.02</v>
      </c>
      <c r="H24" s="12">
        <v>387.84</v>
      </c>
    </row>
    <row r="25" spans="1:8" x14ac:dyDescent="0.25">
      <c r="A25" s="8" t="s">
        <v>98</v>
      </c>
      <c r="B25" s="9">
        <v>25</v>
      </c>
      <c r="C25" s="9" t="s">
        <v>22</v>
      </c>
      <c r="D25" s="8" t="s">
        <v>61</v>
      </c>
      <c r="E25" s="10">
        <v>64</v>
      </c>
      <c r="F25" s="10">
        <v>192</v>
      </c>
      <c r="G25" s="12">
        <v>2.02</v>
      </c>
      <c r="H25" s="12">
        <v>387.84</v>
      </c>
    </row>
    <row r="26" spans="1:8" x14ac:dyDescent="0.25">
      <c r="A26" s="8" t="s">
        <v>99</v>
      </c>
      <c r="B26" s="9">
        <v>25</v>
      </c>
      <c r="C26" s="9" t="s">
        <v>22</v>
      </c>
      <c r="D26" s="8" t="s">
        <v>61</v>
      </c>
      <c r="E26" s="10">
        <v>64</v>
      </c>
      <c r="F26" s="10">
        <v>192</v>
      </c>
      <c r="G26" s="12">
        <v>2.02</v>
      </c>
      <c r="H26" s="12">
        <v>387.84</v>
      </c>
    </row>
    <row r="27" spans="1:8" x14ac:dyDescent="0.25">
      <c r="A27" s="8" t="s">
        <v>100</v>
      </c>
      <c r="B27" s="9">
        <v>25</v>
      </c>
      <c r="C27" s="9" t="s">
        <v>22</v>
      </c>
      <c r="D27" s="8" t="s">
        <v>61</v>
      </c>
      <c r="E27" s="10">
        <v>64</v>
      </c>
      <c r="F27" s="10">
        <v>192</v>
      </c>
      <c r="G27" s="12">
        <v>2.02</v>
      </c>
      <c r="H27" s="12">
        <v>387.84</v>
      </c>
    </row>
    <row r="28" spans="1:8" x14ac:dyDescent="0.25">
      <c r="A28" s="8" t="s">
        <v>101</v>
      </c>
      <c r="B28" s="9">
        <v>25</v>
      </c>
      <c r="C28" s="9" t="s">
        <v>22</v>
      </c>
      <c r="D28" s="8" t="s">
        <v>61</v>
      </c>
      <c r="E28" s="10">
        <v>64</v>
      </c>
      <c r="F28" s="10">
        <v>192</v>
      </c>
      <c r="G28" s="12">
        <v>2.02</v>
      </c>
      <c r="H28" s="12">
        <v>387.84</v>
      </c>
    </row>
    <row r="29" spans="1:8" x14ac:dyDescent="0.25">
      <c r="A29" s="8" t="s">
        <v>102</v>
      </c>
      <c r="B29" s="9">
        <v>25</v>
      </c>
      <c r="C29" s="9" t="s">
        <v>22</v>
      </c>
      <c r="D29" s="8" t="s">
        <v>61</v>
      </c>
      <c r="E29" s="10">
        <v>64</v>
      </c>
      <c r="F29" s="10">
        <v>192</v>
      </c>
      <c r="G29" s="12">
        <v>2.02</v>
      </c>
      <c r="H29" s="12">
        <v>387.84</v>
      </c>
    </row>
    <row r="30" spans="1:8" x14ac:dyDescent="0.25">
      <c r="A30" s="8" t="s">
        <v>103</v>
      </c>
      <c r="B30" s="9">
        <v>25</v>
      </c>
      <c r="C30" s="9" t="s">
        <v>22</v>
      </c>
      <c r="D30" s="8" t="s">
        <v>61</v>
      </c>
      <c r="E30" s="10">
        <v>64</v>
      </c>
      <c r="F30" s="10">
        <v>192</v>
      </c>
      <c r="G30" s="12">
        <v>2.02</v>
      </c>
      <c r="H30" s="12">
        <v>387.84</v>
      </c>
    </row>
    <row r="31" spans="1:8" x14ac:dyDescent="0.25">
      <c r="A31" s="8" t="s">
        <v>104</v>
      </c>
      <c r="B31" s="9">
        <v>25</v>
      </c>
      <c r="C31" s="9" t="s">
        <v>22</v>
      </c>
      <c r="D31" s="8" t="s">
        <v>61</v>
      </c>
      <c r="E31" s="10">
        <v>64</v>
      </c>
      <c r="F31" s="10">
        <v>192</v>
      </c>
      <c r="G31" s="12">
        <v>2.02</v>
      </c>
      <c r="H31" s="12">
        <v>387.84</v>
      </c>
    </row>
    <row r="32" spans="1:8" x14ac:dyDescent="0.25">
      <c r="A32" s="8" t="s">
        <v>105</v>
      </c>
      <c r="B32" s="9">
        <v>25</v>
      </c>
      <c r="C32" s="9" t="s">
        <v>22</v>
      </c>
      <c r="D32" s="8" t="s">
        <v>61</v>
      </c>
      <c r="E32" s="10">
        <v>64</v>
      </c>
      <c r="F32" s="10">
        <v>192</v>
      </c>
      <c r="G32" s="12">
        <v>2.02</v>
      </c>
      <c r="H32" s="12">
        <v>387.84</v>
      </c>
    </row>
    <row r="33" spans="1:8" x14ac:dyDescent="0.25">
      <c r="A33" s="8" t="s">
        <v>106</v>
      </c>
      <c r="B33" s="9">
        <v>25</v>
      </c>
      <c r="C33" s="9" t="s">
        <v>22</v>
      </c>
      <c r="D33" s="8" t="s">
        <v>61</v>
      </c>
      <c r="E33" s="10">
        <v>64</v>
      </c>
      <c r="F33" s="10">
        <v>192</v>
      </c>
      <c r="G33" s="12">
        <v>2.02</v>
      </c>
      <c r="H33" s="12">
        <v>387.84</v>
      </c>
    </row>
    <row r="34" spans="1:8" x14ac:dyDescent="0.25">
      <c r="A34" s="8" t="s">
        <v>107</v>
      </c>
      <c r="B34" s="9">
        <v>25</v>
      </c>
      <c r="C34" s="9" t="s">
        <v>22</v>
      </c>
      <c r="D34" s="8" t="s">
        <v>61</v>
      </c>
      <c r="E34" s="10">
        <v>64</v>
      </c>
      <c r="F34" s="10">
        <v>192</v>
      </c>
      <c r="G34" s="12">
        <v>2.02</v>
      </c>
      <c r="H34" s="12">
        <v>387.84</v>
      </c>
    </row>
    <row r="35" spans="1:8" x14ac:dyDescent="0.25">
      <c r="A35" s="8" t="s">
        <v>108</v>
      </c>
      <c r="B35" s="9">
        <v>25</v>
      </c>
      <c r="C35" s="9" t="s">
        <v>22</v>
      </c>
      <c r="D35" s="8" t="s">
        <v>61</v>
      </c>
      <c r="E35" s="10">
        <v>65</v>
      </c>
      <c r="F35" s="10">
        <v>195</v>
      </c>
      <c r="G35" s="12">
        <v>2.02</v>
      </c>
      <c r="H35" s="12">
        <v>393.9</v>
      </c>
    </row>
    <row r="36" spans="1:8" x14ac:dyDescent="0.25">
      <c r="A36" s="8" t="s">
        <v>111</v>
      </c>
      <c r="B36" s="9">
        <v>25</v>
      </c>
      <c r="C36" s="9" t="s">
        <v>27</v>
      </c>
      <c r="D36" s="8" t="s">
        <v>61</v>
      </c>
      <c r="E36" s="10">
        <v>56</v>
      </c>
      <c r="F36" s="10">
        <v>168</v>
      </c>
      <c r="G36" s="12">
        <v>2.02</v>
      </c>
      <c r="H36" s="12">
        <v>339.36</v>
      </c>
    </row>
    <row r="37" spans="1:8" x14ac:dyDescent="0.25">
      <c r="A37" s="8" t="s">
        <v>114</v>
      </c>
      <c r="B37" s="9">
        <v>25</v>
      </c>
      <c r="C37" s="9" t="s">
        <v>27</v>
      </c>
      <c r="D37" s="8" t="s">
        <v>61</v>
      </c>
      <c r="E37" s="10">
        <v>56</v>
      </c>
      <c r="F37" s="10">
        <v>168</v>
      </c>
      <c r="G37" s="12">
        <v>2.02</v>
      </c>
      <c r="H37" s="12">
        <v>339.36</v>
      </c>
    </row>
    <row r="38" spans="1:8" x14ac:dyDescent="0.25">
      <c r="A38" s="8" t="s">
        <v>115</v>
      </c>
      <c r="B38" s="9">
        <v>25</v>
      </c>
      <c r="C38" s="9" t="s">
        <v>27</v>
      </c>
      <c r="D38" s="8" t="s">
        <v>61</v>
      </c>
      <c r="E38" s="10">
        <v>56</v>
      </c>
      <c r="F38" s="10">
        <v>168</v>
      </c>
      <c r="G38" s="12">
        <v>2.02</v>
      </c>
      <c r="H38" s="12">
        <v>339.36</v>
      </c>
    </row>
    <row r="39" spans="1:8" x14ac:dyDescent="0.25">
      <c r="A39" s="8" t="s">
        <v>116</v>
      </c>
      <c r="B39" s="9">
        <v>25</v>
      </c>
      <c r="C39" s="9" t="s">
        <v>27</v>
      </c>
      <c r="D39" s="8" t="s">
        <v>61</v>
      </c>
      <c r="E39" s="10">
        <v>56</v>
      </c>
      <c r="F39" s="10">
        <v>168</v>
      </c>
      <c r="G39" s="12">
        <v>2.02</v>
      </c>
      <c r="H39" s="12">
        <v>339.36</v>
      </c>
    </row>
    <row r="40" spans="1:8" x14ac:dyDescent="0.25">
      <c r="A40" s="8" t="s">
        <v>117</v>
      </c>
      <c r="B40" s="9">
        <v>25</v>
      </c>
      <c r="C40" s="9" t="s">
        <v>27</v>
      </c>
      <c r="D40" s="8" t="s">
        <v>61</v>
      </c>
      <c r="E40" s="10">
        <v>56</v>
      </c>
      <c r="F40" s="10">
        <v>168</v>
      </c>
      <c r="G40" s="12">
        <v>2.02</v>
      </c>
      <c r="H40" s="12">
        <v>339.36</v>
      </c>
    </row>
    <row r="41" spans="1:8" x14ac:dyDescent="0.25">
      <c r="A41" s="8" t="s">
        <v>118</v>
      </c>
      <c r="B41" s="9">
        <v>25</v>
      </c>
      <c r="C41" s="9" t="s">
        <v>27</v>
      </c>
      <c r="D41" s="8" t="s">
        <v>61</v>
      </c>
      <c r="E41" s="10">
        <v>56</v>
      </c>
      <c r="F41" s="10">
        <v>168</v>
      </c>
      <c r="G41" s="12">
        <v>2.02</v>
      </c>
      <c r="H41" s="12">
        <v>339.36</v>
      </c>
    </row>
    <row r="42" spans="1:8" x14ac:dyDescent="0.25">
      <c r="A42" s="8" t="s">
        <v>119</v>
      </c>
      <c r="B42" s="9">
        <v>25</v>
      </c>
      <c r="C42" s="9" t="s">
        <v>27</v>
      </c>
      <c r="D42" s="8" t="s">
        <v>61</v>
      </c>
      <c r="E42" s="10">
        <v>56</v>
      </c>
      <c r="F42" s="10">
        <v>168</v>
      </c>
      <c r="G42" s="12">
        <v>2.02</v>
      </c>
      <c r="H42" s="12">
        <v>339.36</v>
      </c>
    </row>
    <row r="43" spans="1:8" x14ac:dyDescent="0.25">
      <c r="A43" s="8" t="s">
        <v>120</v>
      </c>
      <c r="B43" s="9">
        <v>25</v>
      </c>
      <c r="C43" s="9" t="s">
        <v>27</v>
      </c>
      <c r="D43" s="8" t="s">
        <v>61</v>
      </c>
      <c r="E43" s="10">
        <v>56</v>
      </c>
      <c r="F43" s="10">
        <v>168</v>
      </c>
      <c r="G43" s="12">
        <v>2.02</v>
      </c>
      <c r="H43" s="12">
        <v>339.36</v>
      </c>
    </row>
    <row r="44" spans="1:8" x14ac:dyDescent="0.25">
      <c r="A44" s="8" t="s">
        <v>121</v>
      </c>
      <c r="B44" s="9">
        <v>25</v>
      </c>
      <c r="C44" s="9" t="s">
        <v>27</v>
      </c>
      <c r="D44" s="8" t="s">
        <v>61</v>
      </c>
      <c r="E44" s="10">
        <v>56</v>
      </c>
      <c r="F44" s="10">
        <v>168</v>
      </c>
      <c r="G44" s="12">
        <v>2.02</v>
      </c>
      <c r="H44" s="12">
        <v>339.36</v>
      </c>
    </row>
    <row r="45" spans="1:8" x14ac:dyDescent="0.25">
      <c r="A45" s="8" t="s">
        <v>122</v>
      </c>
      <c r="B45" s="9">
        <v>25</v>
      </c>
      <c r="C45" s="9" t="s">
        <v>27</v>
      </c>
      <c r="D45" s="8" t="s">
        <v>61</v>
      </c>
      <c r="E45" s="10">
        <v>56</v>
      </c>
      <c r="F45" s="10">
        <v>168</v>
      </c>
      <c r="G45" s="12">
        <v>2.02</v>
      </c>
      <c r="H45" s="12">
        <v>339.36</v>
      </c>
    </row>
    <row r="46" spans="1:8" x14ac:dyDescent="0.25">
      <c r="A46" s="8" t="s">
        <v>123</v>
      </c>
      <c r="B46" s="9">
        <v>25</v>
      </c>
      <c r="C46" s="9" t="s">
        <v>27</v>
      </c>
      <c r="D46" s="8" t="s">
        <v>61</v>
      </c>
      <c r="E46" s="10">
        <v>56</v>
      </c>
      <c r="F46" s="10">
        <v>168</v>
      </c>
      <c r="G46" s="12">
        <v>2.02</v>
      </c>
      <c r="H46" s="12">
        <v>339.36</v>
      </c>
    </row>
    <row r="47" spans="1:8" x14ac:dyDescent="0.25">
      <c r="A47" s="8" t="s">
        <v>124</v>
      </c>
      <c r="B47" s="9">
        <v>25</v>
      </c>
      <c r="C47" s="9" t="s">
        <v>27</v>
      </c>
      <c r="D47" s="8" t="s">
        <v>61</v>
      </c>
      <c r="E47" s="10">
        <v>56</v>
      </c>
      <c r="F47" s="10">
        <v>168</v>
      </c>
      <c r="G47" s="12">
        <v>2.02</v>
      </c>
      <c r="H47" s="12">
        <v>339.36</v>
      </c>
    </row>
    <row r="48" spans="1:8" x14ac:dyDescent="0.25">
      <c r="A48" s="8" t="s">
        <v>125</v>
      </c>
      <c r="B48" s="9">
        <v>25</v>
      </c>
      <c r="C48" s="9" t="s">
        <v>27</v>
      </c>
      <c r="D48" s="8" t="s">
        <v>61</v>
      </c>
      <c r="E48" s="10">
        <v>56</v>
      </c>
      <c r="F48" s="10">
        <v>168</v>
      </c>
      <c r="G48" s="12">
        <v>2.02</v>
      </c>
      <c r="H48" s="12">
        <v>339.36</v>
      </c>
    </row>
    <row r="49" spans="1:8" x14ac:dyDescent="0.25">
      <c r="A49" s="8" t="s">
        <v>126</v>
      </c>
      <c r="B49" s="9">
        <v>25</v>
      </c>
      <c r="C49" s="9" t="s">
        <v>27</v>
      </c>
      <c r="D49" s="8" t="s">
        <v>61</v>
      </c>
      <c r="E49" s="10">
        <v>56</v>
      </c>
      <c r="F49" s="10">
        <v>168</v>
      </c>
      <c r="G49" s="12">
        <v>2.02</v>
      </c>
      <c r="H49" s="12">
        <v>339.36</v>
      </c>
    </row>
    <row r="50" spans="1:8" x14ac:dyDescent="0.25">
      <c r="A50" s="8" t="s">
        <v>127</v>
      </c>
      <c r="B50" s="9">
        <v>25</v>
      </c>
      <c r="C50" s="9" t="s">
        <v>27</v>
      </c>
      <c r="D50" s="8" t="s">
        <v>61</v>
      </c>
      <c r="E50" s="10">
        <v>61</v>
      </c>
      <c r="F50" s="10">
        <v>183</v>
      </c>
      <c r="G50" s="12">
        <v>2.02</v>
      </c>
      <c r="H50" s="12">
        <v>369.66</v>
      </c>
    </row>
    <row r="51" spans="1:8" x14ac:dyDescent="0.25">
      <c r="A51" s="8" t="s">
        <v>130</v>
      </c>
      <c r="B51" s="9">
        <v>25</v>
      </c>
      <c r="C51" s="9" t="s">
        <v>31</v>
      </c>
      <c r="D51" s="8" t="s">
        <v>61</v>
      </c>
      <c r="E51" s="10">
        <v>52</v>
      </c>
      <c r="F51" s="10">
        <v>156</v>
      </c>
      <c r="G51" s="12">
        <v>2.02</v>
      </c>
      <c r="H51" s="12">
        <v>315.12</v>
      </c>
    </row>
    <row r="52" spans="1:8" x14ac:dyDescent="0.25">
      <c r="A52" s="8" t="s">
        <v>133</v>
      </c>
      <c r="B52" s="9">
        <v>25</v>
      </c>
      <c r="C52" s="9" t="s">
        <v>31</v>
      </c>
      <c r="D52" s="8" t="s">
        <v>61</v>
      </c>
      <c r="E52" s="10">
        <v>52</v>
      </c>
      <c r="F52" s="10">
        <v>156</v>
      </c>
      <c r="G52" s="12">
        <v>2.02</v>
      </c>
      <c r="H52" s="12">
        <v>315.12</v>
      </c>
    </row>
    <row r="53" spans="1:8" x14ac:dyDescent="0.25">
      <c r="A53" s="8" t="s">
        <v>134</v>
      </c>
      <c r="B53" s="9">
        <v>25</v>
      </c>
      <c r="C53" s="9" t="s">
        <v>31</v>
      </c>
      <c r="D53" s="8" t="s">
        <v>61</v>
      </c>
      <c r="E53" s="10">
        <v>52</v>
      </c>
      <c r="F53" s="10">
        <v>156</v>
      </c>
      <c r="G53" s="12">
        <v>2.02</v>
      </c>
      <c r="H53" s="12">
        <v>315.12</v>
      </c>
    </row>
    <row r="54" spans="1:8" x14ac:dyDescent="0.25">
      <c r="A54" s="8" t="s">
        <v>135</v>
      </c>
      <c r="B54" s="9">
        <v>25</v>
      </c>
      <c r="C54" s="9" t="s">
        <v>31</v>
      </c>
      <c r="D54" s="8" t="s">
        <v>61</v>
      </c>
      <c r="E54" s="10">
        <v>52</v>
      </c>
      <c r="F54" s="10">
        <v>156</v>
      </c>
      <c r="G54" s="12">
        <v>2.02</v>
      </c>
      <c r="H54" s="12">
        <v>315.12</v>
      </c>
    </row>
    <row r="55" spans="1:8" x14ac:dyDescent="0.25">
      <c r="A55" s="8" t="s">
        <v>136</v>
      </c>
      <c r="B55" s="9">
        <v>25</v>
      </c>
      <c r="C55" s="9" t="s">
        <v>31</v>
      </c>
      <c r="D55" s="8" t="s">
        <v>61</v>
      </c>
      <c r="E55" s="10">
        <v>52</v>
      </c>
      <c r="F55" s="10">
        <v>156</v>
      </c>
      <c r="G55" s="12">
        <v>2.02</v>
      </c>
      <c r="H55" s="12">
        <v>315.12</v>
      </c>
    </row>
    <row r="56" spans="1:8" x14ac:dyDescent="0.25">
      <c r="A56" s="8" t="s">
        <v>137</v>
      </c>
      <c r="B56" s="9">
        <v>25</v>
      </c>
      <c r="C56" s="9" t="s">
        <v>31</v>
      </c>
      <c r="D56" s="8" t="s">
        <v>61</v>
      </c>
      <c r="E56" s="10">
        <v>52</v>
      </c>
      <c r="F56" s="10">
        <v>156</v>
      </c>
      <c r="G56" s="12">
        <v>2.02</v>
      </c>
      <c r="H56" s="12">
        <v>315.12</v>
      </c>
    </row>
    <row r="57" spans="1:8" x14ac:dyDescent="0.25">
      <c r="A57" s="8" t="s">
        <v>138</v>
      </c>
      <c r="B57" s="9">
        <v>25</v>
      </c>
      <c r="C57" s="9" t="s">
        <v>31</v>
      </c>
      <c r="D57" s="8" t="s">
        <v>61</v>
      </c>
      <c r="E57" s="10">
        <v>52</v>
      </c>
      <c r="F57" s="10">
        <v>156</v>
      </c>
      <c r="G57" s="12">
        <v>2.02</v>
      </c>
      <c r="H57" s="12">
        <v>315.12</v>
      </c>
    </row>
    <row r="58" spans="1:8" x14ac:dyDescent="0.25">
      <c r="A58" s="8" t="s">
        <v>139</v>
      </c>
      <c r="B58" s="9">
        <v>25</v>
      </c>
      <c r="C58" s="9" t="s">
        <v>31</v>
      </c>
      <c r="D58" s="8" t="s">
        <v>61</v>
      </c>
      <c r="E58" s="10">
        <v>52</v>
      </c>
      <c r="F58" s="10">
        <v>156</v>
      </c>
      <c r="G58" s="12">
        <v>2.02</v>
      </c>
      <c r="H58" s="12">
        <v>315.12</v>
      </c>
    </row>
    <row r="59" spans="1:8" x14ac:dyDescent="0.25">
      <c r="A59" s="8" t="s">
        <v>140</v>
      </c>
      <c r="B59" s="9">
        <v>25</v>
      </c>
      <c r="C59" s="9" t="s">
        <v>31</v>
      </c>
      <c r="D59" s="8" t="s">
        <v>61</v>
      </c>
      <c r="E59" s="10">
        <v>55</v>
      </c>
      <c r="F59" s="10">
        <v>165</v>
      </c>
      <c r="G59" s="12">
        <v>2.02</v>
      </c>
      <c r="H59" s="12">
        <v>333.3</v>
      </c>
    </row>
    <row r="60" spans="1:8" x14ac:dyDescent="0.25">
      <c r="A60" s="8" t="s">
        <v>147</v>
      </c>
      <c r="B60" s="9">
        <v>204</v>
      </c>
      <c r="C60" s="9" t="s">
        <v>35</v>
      </c>
      <c r="D60" s="8" t="s">
        <v>61</v>
      </c>
      <c r="E60" s="10">
        <v>43</v>
      </c>
      <c r="F60" s="10">
        <v>129</v>
      </c>
      <c r="G60" s="12">
        <v>2.14</v>
      </c>
      <c r="H60" s="12">
        <v>276.06</v>
      </c>
    </row>
    <row r="61" spans="1:8" x14ac:dyDescent="0.25">
      <c r="A61" s="8" t="s">
        <v>150</v>
      </c>
      <c r="B61" s="9">
        <v>204</v>
      </c>
      <c r="C61" s="9" t="s">
        <v>35</v>
      </c>
      <c r="D61" s="8" t="s">
        <v>61</v>
      </c>
      <c r="E61" s="10">
        <v>43</v>
      </c>
      <c r="F61" s="10">
        <v>129</v>
      </c>
      <c r="G61" s="12">
        <v>2.14</v>
      </c>
      <c r="H61" s="12">
        <v>276.06</v>
      </c>
    </row>
    <row r="62" spans="1:8" x14ac:dyDescent="0.25">
      <c r="A62" s="8" t="s">
        <v>151</v>
      </c>
      <c r="B62" s="9">
        <v>204</v>
      </c>
      <c r="C62" s="9" t="s">
        <v>35</v>
      </c>
      <c r="D62" s="8" t="s">
        <v>61</v>
      </c>
      <c r="E62" s="10">
        <v>43</v>
      </c>
      <c r="F62" s="10">
        <v>129</v>
      </c>
      <c r="G62" s="12">
        <v>2.14</v>
      </c>
      <c r="H62" s="12">
        <v>276.06</v>
      </c>
    </row>
    <row r="63" spans="1:8" x14ac:dyDescent="0.25">
      <c r="A63" s="8" t="s">
        <v>152</v>
      </c>
      <c r="B63" s="9">
        <v>204</v>
      </c>
      <c r="C63" s="9" t="s">
        <v>35</v>
      </c>
      <c r="D63" s="8" t="s">
        <v>61</v>
      </c>
      <c r="E63" s="10">
        <v>43</v>
      </c>
      <c r="F63" s="10">
        <v>129</v>
      </c>
      <c r="G63" s="12">
        <v>2.14</v>
      </c>
      <c r="H63" s="12">
        <v>276.06</v>
      </c>
    </row>
    <row r="64" spans="1:8" x14ac:dyDescent="0.25">
      <c r="A64" s="8" t="s">
        <v>153</v>
      </c>
      <c r="B64" s="9">
        <v>204</v>
      </c>
      <c r="C64" s="9" t="s">
        <v>35</v>
      </c>
      <c r="D64" s="8" t="s">
        <v>61</v>
      </c>
      <c r="E64" s="10">
        <v>43</v>
      </c>
      <c r="F64" s="10">
        <v>129</v>
      </c>
      <c r="G64" s="12">
        <v>2.14</v>
      </c>
      <c r="H64" s="12">
        <v>276.06</v>
      </c>
    </row>
    <row r="65" spans="1:8" x14ac:dyDescent="0.25">
      <c r="A65" s="8" t="s">
        <v>154</v>
      </c>
      <c r="B65" s="9">
        <v>204</v>
      </c>
      <c r="C65" s="9" t="s">
        <v>35</v>
      </c>
      <c r="D65" s="8" t="s">
        <v>61</v>
      </c>
      <c r="E65" s="10">
        <v>43</v>
      </c>
      <c r="F65" s="10">
        <v>129</v>
      </c>
      <c r="G65" s="12">
        <v>2.14</v>
      </c>
      <c r="H65" s="12">
        <v>276.06</v>
      </c>
    </row>
    <row r="66" spans="1:8" x14ac:dyDescent="0.25">
      <c r="A66" s="8" t="s">
        <v>155</v>
      </c>
      <c r="B66" s="9">
        <v>204</v>
      </c>
      <c r="C66" s="9" t="s">
        <v>35</v>
      </c>
      <c r="D66" s="8" t="s">
        <v>61</v>
      </c>
      <c r="E66" s="10">
        <v>43</v>
      </c>
      <c r="F66" s="10">
        <v>129</v>
      </c>
      <c r="G66" s="12">
        <v>2.14</v>
      </c>
      <c r="H66" s="12">
        <v>276.06</v>
      </c>
    </row>
    <row r="67" spans="1:8" x14ac:dyDescent="0.25">
      <c r="A67" s="8" t="s">
        <v>156</v>
      </c>
      <c r="B67" s="9">
        <v>204</v>
      </c>
      <c r="C67" s="9" t="s">
        <v>35</v>
      </c>
      <c r="D67" s="8" t="s">
        <v>61</v>
      </c>
      <c r="E67" s="10">
        <v>43</v>
      </c>
      <c r="F67" s="10">
        <v>129</v>
      </c>
      <c r="G67" s="12">
        <v>2.14</v>
      </c>
      <c r="H67" s="12">
        <v>276.06</v>
      </c>
    </row>
    <row r="68" spans="1:8" x14ac:dyDescent="0.25">
      <c r="A68" s="8" t="s">
        <v>157</v>
      </c>
      <c r="B68" s="9">
        <v>204</v>
      </c>
      <c r="C68" s="9" t="s">
        <v>35</v>
      </c>
      <c r="D68" s="8" t="s">
        <v>61</v>
      </c>
      <c r="E68" s="10">
        <v>43</v>
      </c>
      <c r="F68" s="10">
        <v>129</v>
      </c>
      <c r="G68" s="12">
        <v>2.14</v>
      </c>
      <c r="H68" s="12">
        <v>276.06</v>
      </c>
    </row>
    <row r="69" spans="1:8" x14ac:dyDescent="0.25">
      <c r="A69" s="8" t="s">
        <v>158</v>
      </c>
      <c r="B69" s="9">
        <v>204</v>
      </c>
      <c r="C69" s="9" t="s">
        <v>35</v>
      </c>
      <c r="D69" s="8" t="s">
        <v>61</v>
      </c>
      <c r="E69" s="10">
        <v>43</v>
      </c>
      <c r="F69" s="10">
        <v>129</v>
      </c>
      <c r="G69" s="12">
        <v>2.14</v>
      </c>
      <c r="H69" s="12">
        <v>276.06</v>
      </c>
    </row>
    <row r="70" spans="1:8" x14ac:dyDescent="0.25">
      <c r="A70" s="8" t="s">
        <v>159</v>
      </c>
      <c r="B70" s="9">
        <v>204</v>
      </c>
      <c r="C70" s="9" t="s">
        <v>35</v>
      </c>
      <c r="D70" s="8" t="s">
        <v>61</v>
      </c>
      <c r="E70" s="10">
        <v>40</v>
      </c>
      <c r="F70" s="10">
        <v>120</v>
      </c>
      <c r="G70" s="12">
        <v>2.14</v>
      </c>
      <c r="H70" s="12">
        <v>256.8</v>
      </c>
    </row>
    <row r="71" spans="1:8" x14ac:dyDescent="0.25">
      <c r="A71" s="8" t="s">
        <v>162</v>
      </c>
      <c r="B71" s="9">
        <v>204</v>
      </c>
      <c r="C71" s="9" t="s">
        <v>40</v>
      </c>
      <c r="D71" s="8" t="s">
        <v>61</v>
      </c>
      <c r="E71" s="10">
        <v>43</v>
      </c>
      <c r="F71" s="10">
        <v>129</v>
      </c>
      <c r="G71" s="12">
        <v>2.14</v>
      </c>
      <c r="H71" s="12">
        <v>276.06</v>
      </c>
    </row>
    <row r="72" spans="1:8" x14ac:dyDescent="0.25">
      <c r="A72" s="8" t="s">
        <v>163</v>
      </c>
      <c r="B72" s="9">
        <v>204</v>
      </c>
      <c r="C72" s="9" t="s">
        <v>40</v>
      </c>
      <c r="D72" s="8" t="s">
        <v>61</v>
      </c>
      <c r="E72" s="10">
        <v>43</v>
      </c>
      <c r="F72" s="10">
        <v>129</v>
      </c>
      <c r="G72" s="12">
        <v>2.14</v>
      </c>
      <c r="H72" s="12">
        <v>276.06</v>
      </c>
    </row>
    <row r="73" spans="1:8" x14ac:dyDescent="0.25">
      <c r="A73" s="8" t="s">
        <v>164</v>
      </c>
      <c r="B73" s="9">
        <v>204</v>
      </c>
      <c r="C73" s="9" t="s">
        <v>40</v>
      </c>
      <c r="D73" s="8" t="s">
        <v>61</v>
      </c>
      <c r="E73" s="10">
        <v>43</v>
      </c>
      <c r="F73" s="10">
        <v>129</v>
      </c>
      <c r="G73" s="12">
        <v>2.14</v>
      </c>
      <c r="H73" s="12">
        <v>276.06</v>
      </c>
    </row>
    <row r="74" spans="1:8" x14ac:dyDescent="0.25">
      <c r="A74" s="8" t="s">
        <v>165</v>
      </c>
      <c r="B74" s="9">
        <v>204</v>
      </c>
      <c r="C74" s="9" t="s">
        <v>40</v>
      </c>
      <c r="D74" s="8" t="s">
        <v>61</v>
      </c>
      <c r="E74" s="10">
        <v>43</v>
      </c>
      <c r="F74" s="10">
        <v>129</v>
      </c>
      <c r="G74" s="12">
        <v>2.14</v>
      </c>
      <c r="H74" s="12">
        <v>276.06</v>
      </c>
    </row>
    <row r="75" spans="1:8" x14ac:dyDescent="0.25">
      <c r="A75" s="8" t="s">
        <v>166</v>
      </c>
      <c r="B75" s="9">
        <v>204</v>
      </c>
      <c r="C75" s="9" t="s">
        <v>40</v>
      </c>
      <c r="D75" s="8" t="s">
        <v>61</v>
      </c>
      <c r="E75" s="10">
        <v>43</v>
      </c>
      <c r="F75" s="10">
        <v>129</v>
      </c>
      <c r="G75" s="12">
        <v>2.14</v>
      </c>
      <c r="H75" s="12">
        <v>276.06</v>
      </c>
    </row>
    <row r="76" spans="1:8" x14ac:dyDescent="0.25">
      <c r="A76" s="8" t="s">
        <v>167</v>
      </c>
      <c r="B76" s="9">
        <v>204</v>
      </c>
      <c r="C76" s="9" t="s">
        <v>40</v>
      </c>
      <c r="D76" s="8" t="s">
        <v>61</v>
      </c>
      <c r="E76" s="10">
        <v>43</v>
      </c>
      <c r="F76" s="10">
        <v>129</v>
      </c>
      <c r="G76" s="12">
        <v>2.14</v>
      </c>
      <c r="H76" s="12">
        <v>276.06</v>
      </c>
    </row>
    <row r="77" spans="1:8" x14ac:dyDescent="0.25">
      <c r="A77" s="8" t="s">
        <v>168</v>
      </c>
      <c r="B77" s="9">
        <v>204</v>
      </c>
      <c r="C77" s="9" t="s">
        <v>40</v>
      </c>
      <c r="D77" s="8" t="s">
        <v>61</v>
      </c>
      <c r="E77" s="10">
        <v>43</v>
      </c>
      <c r="F77" s="10">
        <v>129</v>
      </c>
      <c r="G77" s="12">
        <v>2.14</v>
      </c>
      <c r="H77" s="12">
        <v>276.06</v>
      </c>
    </row>
    <row r="78" spans="1:8" x14ac:dyDescent="0.25">
      <c r="A78" s="8" t="s">
        <v>169</v>
      </c>
      <c r="B78" s="9">
        <v>204</v>
      </c>
      <c r="C78" s="9" t="s">
        <v>40</v>
      </c>
      <c r="D78" s="8" t="s">
        <v>61</v>
      </c>
      <c r="E78" s="10">
        <v>43</v>
      </c>
      <c r="F78" s="10">
        <v>129</v>
      </c>
      <c r="G78" s="12">
        <v>2.14</v>
      </c>
      <c r="H78" s="12">
        <v>276.06</v>
      </c>
    </row>
    <row r="79" spans="1:8" x14ac:dyDescent="0.25">
      <c r="A79" s="8" t="s">
        <v>170</v>
      </c>
      <c r="B79" s="9">
        <v>204</v>
      </c>
      <c r="C79" s="9" t="s">
        <v>40</v>
      </c>
      <c r="D79" s="8" t="s">
        <v>61</v>
      </c>
      <c r="E79" s="10">
        <v>43</v>
      </c>
      <c r="F79" s="10">
        <v>129</v>
      </c>
      <c r="G79" s="12">
        <v>2.14</v>
      </c>
      <c r="H79" s="12">
        <v>276.06</v>
      </c>
    </row>
    <row r="80" spans="1:8" x14ac:dyDescent="0.25">
      <c r="A80" s="8" t="s">
        <v>171</v>
      </c>
      <c r="B80" s="9">
        <v>204</v>
      </c>
      <c r="C80" s="9" t="s">
        <v>40</v>
      </c>
      <c r="D80" s="8" t="s">
        <v>61</v>
      </c>
      <c r="E80" s="10">
        <v>43</v>
      </c>
      <c r="F80" s="10">
        <v>129</v>
      </c>
      <c r="G80" s="12">
        <v>2.14</v>
      </c>
      <c r="H80" s="12">
        <v>276.06</v>
      </c>
    </row>
    <row r="81" spans="1:8" x14ac:dyDescent="0.25">
      <c r="A81" s="8" t="s">
        <v>172</v>
      </c>
      <c r="B81" s="9">
        <v>204</v>
      </c>
      <c r="C81" s="9" t="s">
        <v>40</v>
      </c>
      <c r="D81" s="8" t="s">
        <v>61</v>
      </c>
      <c r="E81" s="10">
        <v>38</v>
      </c>
      <c r="F81" s="10">
        <v>114</v>
      </c>
      <c r="G81" s="12">
        <v>2.14</v>
      </c>
      <c r="H81" s="12">
        <v>243.96</v>
      </c>
    </row>
    <row r="82" spans="1:8" x14ac:dyDescent="0.25">
      <c r="A82" s="8" t="s">
        <v>44</v>
      </c>
      <c r="F82" s="10">
        <f>SUBTOTAL(109,tblArye[PİECES])</f>
        <v>13803</v>
      </c>
      <c r="G82" s="17"/>
      <c r="H82" s="15">
        <f>SUBTOTAL(109,tblArye[סה"כ $])</f>
        <v>28219.74000000002</v>
      </c>
    </row>
    <row r="84" spans="1:8" x14ac:dyDescent="0.25">
      <c r="A84" s="23"/>
      <c r="B84" s="23"/>
      <c r="C84" s="23"/>
      <c r="D84" s="23"/>
      <c r="E84" s="23"/>
      <c r="F84" s="24"/>
      <c r="G84" s="23"/>
      <c r="H84" s="2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3.8" x14ac:dyDescent="0.25"/>
  <cols>
    <col min="1" max="1" width="9.69921875" style="8" customWidth="1"/>
    <col min="2" max="2" width="9" style="8" customWidth="1"/>
    <col min="3" max="3" width="8.796875" style="8" bestFit="1" customWidth="1"/>
    <col min="4" max="4" width="11.3984375" style="8" bestFit="1" customWidth="1"/>
    <col min="5" max="5" width="6.296875" style="8" customWidth="1"/>
    <col min="6" max="6" width="8.796875" style="8" customWidth="1"/>
    <col min="7" max="7" width="13" customWidth="1"/>
    <col min="8" max="8" width="10.8984375" bestFit="1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7" t="s">
        <v>176</v>
      </c>
      <c r="H1" s="19" t="s">
        <v>8</v>
      </c>
    </row>
    <row r="2" spans="1:8" x14ac:dyDescent="0.25">
      <c r="A2" s="8" t="s">
        <v>9</v>
      </c>
      <c r="B2" s="9">
        <v>25</v>
      </c>
      <c r="C2" s="9" t="s">
        <v>10</v>
      </c>
      <c r="D2" s="8" t="s">
        <v>11</v>
      </c>
      <c r="E2" s="10">
        <v>50</v>
      </c>
      <c r="F2" s="10">
        <v>250</v>
      </c>
      <c r="G2" s="20">
        <v>8.23</v>
      </c>
      <c r="H2" s="20">
        <v>2057.5</v>
      </c>
    </row>
    <row r="3" spans="1:8" x14ac:dyDescent="0.25">
      <c r="A3" s="8" t="s">
        <v>12</v>
      </c>
      <c r="B3" s="9">
        <v>25</v>
      </c>
      <c r="C3" s="9" t="s">
        <v>10</v>
      </c>
      <c r="D3" s="8" t="s">
        <v>11</v>
      </c>
      <c r="E3" s="10">
        <v>50</v>
      </c>
      <c r="F3" s="10">
        <v>250</v>
      </c>
      <c r="G3" s="20">
        <v>8.23</v>
      </c>
      <c r="H3" s="20">
        <v>2057.5</v>
      </c>
    </row>
    <row r="4" spans="1:8" x14ac:dyDescent="0.25">
      <c r="A4" s="8" t="s">
        <v>13</v>
      </c>
      <c r="B4" s="9">
        <v>25</v>
      </c>
      <c r="C4" s="9" t="s">
        <v>14</v>
      </c>
      <c r="D4" s="8" t="s">
        <v>11</v>
      </c>
      <c r="E4" s="10">
        <v>47</v>
      </c>
      <c r="F4" s="10">
        <v>235</v>
      </c>
      <c r="G4" s="20">
        <v>8.23</v>
      </c>
      <c r="H4" s="20">
        <v>1934.05</v>
      </c>
    </row>
    <row r="5" spans="1:8" x14ac:dyDescent="0.25">
      <c r="A5" s="8" t="s">
        <v>15</v>
      </c>
      <c r="B5" s="9">
        <v>25</v>
      </c>
      <c r="C5" s="9" t="s">
        <v>14</v>
      </c>
      <c r="D5" s="8" t="s">
        <v>11</v>
      </c>
      <c r="E5" s="10">
        <v>47</v>
      </c>
      <c r="F5" s="10">
        <v>235</v>
      </c>
      <c r="G5" s="20">
        <v>8.23</v>
      </c>
      <c r="H5" s="20">
        <v>1934.05</v>
      </c>
    </row>
    <row r="6" spans="1:8" x14ac:dyDescent="0.25">
      <c r="A6" s="8" t="s">
        <v>16</v>
      </c>
      <c r="B6" s="9">
        <v>25</v>
      </c>
      <c r="C6" s="9" t="s">
        <v>14</v>
      </c>
      <c r="D6" s="8" t="s">
        <v>11</v>
      </c>
      <c r="E6" s="10">
        <v>48</v>
      </c>
      <c r="F6" s="10">
        <v>240</v>
      </c>
      <c r="G6" s="20">
        <v>8.23</v>
      </c>
      <c r="H6" s="20">
        <v>1975.2</v>
      </c>
    </row>
    <row r="7" spans="1:8" x14ac:dyDescent="0.25">
      <c r="A7" s="8" t="s">
        <v>17</v>
      </c>
      <c r="B7" s="9">
        <v>25</v>
      </c>
      <c r="C7" s="9" t="s">
        <v>18</v>
      </c>
      <c r="D7" s="8" t="s">
        <v>11</v>
      </c>
      <c r="E7" s="10">
        <v>34</v>
      </c>
      <c r="F7" s="10">
        <v>170</v>
      </c>
      <c r="G7" s="20">
        <v>8.23</v>
      </c>
      <c r="H7" s="20">
        <v>1399.1</v>
      </c>
    </row>
    <row r="8" spans="1:8" x14ac:dyDescent="0.25">
      <c r="A8" s="8" t="s">
        <v>19</v>
      </c>
      <c r="B8" s="9">
        <v>25</v>
      </c>
      <c r="C8" s="9" t="s">
        <v>18</v>
      </c>
      <c r="D8" s="8" t="s">
        <v>11</v>
      </c>
      <c r="E8" s="10">
        <v>34</v>
      </c>
      <c r="F8" s="10">
        <v>170</v>
      </c>
      <c r="G8" s="20">
        <v>8.23</v>
      </c>
      <c r="H8" s="20">
        <v>1399.1</v>
      </c>
    </row>
    <row r="9" spans="1:8" x14ac:dyDescent="0.25">
      <c r="A9" s="8" t="s">
        <v>20</v>
      </c>
      <c r="B9" s="9">
        <v>25</v>
      </c>
      <c r="C9" s="9" t="s">
        <v>18</v>
      </c>
      <c r="D9" s="8" t="s">
        <v>11</v>
      </c>
      <c r="E9" s="10">
        <v>34</v>
      </c>
      <c r="F9" s="10">
        <v>170</v>
      </c>
      <c r="G9" s="20">
        <v>8.23</v>
      </c>
      <c r="H9" s="20">
        <v>1399.1</v>
      </c>
    </row>
    <row r="10" spans="1:8" x14ac:dyDescent="0.25">
      <c r="A10" s="8" t="s">
        <v>21</v>
      </c>
      <c r="B10" s="9">
        <v>25</v>
      </c>
      <c r="C10" s="9" t="s">
        <v>22</v>
      </c>
      <c r="D10" s="8" t="s">
        <v>11</v>
      </c>
      <c r="E10" s="10">
        <v>35</v>
      </c>
      <c r="F10" s="10">
        <v>175</v>
      </c>
      <c r="G10" s="20">
        <v>8.23</v>
      </c>
      <c r="H10" s="20">
        <v>1440.25</v>
      </c>
    </row>
    <row r="11" spans="1:8" x14ac:dyDescent="0.25">
      <c r="A11" s="8" t="s">
        <v>23</v>
      </c>
      <c r="B11" s="9">
        <v>25</v>
      </c>
      <c r="C11" s="9" t="s">
        <v>22</v>
      </c>
      <c r="D11" s="8" t="s">
        <v>11</v>
      </c>
      <c r="E11" s="10">
        <v>35</v>
      </c>
      <c r="F11" s="10">
        <v>175</v>
      </c>
      <c r="G11" s="20">
        <v>8.23</v>
      </c>
      <c r="H11" s="20">
        <v>1440.25</v>
      </c>
    </row>
    <row r="12" spans="1:8" x14ac:dyDescent="0.25">
      <c r="A12" s="8" t="s">
        <v>24</v>
      </c>
      <c r="B12" s="9">
        <v>25</v>
      </c>
      <c r="C12" s="9" t="s">
        <v>22</v>
      </c>
      <c r="D12" s="8" t="s">
        <v>11</v>
      </c>
      <c r="E12" s="10">
        <v>35</v>
      </c>
      <c r="F12" s="10">
        <v>175</v>
      </c>
      <c r="G12" s="20">
        <v>8.23</v>
      </c>
      <c r="H12" s="20">
        <v>1440.25</v>
      </c>
    </row>
    <row r="13" spans="1:8" x14ac:dyDescent="0.25">
      <c r="A13" s="8" t="s">
        <v>25</v>
      </c>
      <c r="B13" s="9">
        <v>25</v>
      </c>
      <c r="C13" s="9" t="s">
        <v>22</v>
      </c>
      <c r="D13" s="8" t="s">
        <v>11</v>
      </c>
      <c r="E13" s="10">
        <v>37</v>
      </c>
      <c r="F13" s="10">
        <v>185</v>
      </c>
      <c r="G13" s="20">
        <v>8.23</v>
      </c>
      <c r="H13" s="20">
        <v>1522.55</v>
      </c>
    </row>
    <row r="14" spans="1:8" x14ac:dyDescent="0.25">
      <c r="A14" s="8" t="s">
        <v>26</v>
      </c>
      <c r="B14" s="9">
        <v>25</v>
      </c>
      <c r="C14" s="9" t="s">
        <v>27</v>
      </c>
      <c r="D14" s="8" t="s">
        <v>11</v>
      </c>
      <c r="E14" s="10">
        <v>33</v>
      </c>
      <c r="F14" s="10">
        <v>165</v>
      </c>
      <c r="G14" s="20">
        <v>8.23</v>
      </c>
      <c r="H14" s="20">
        <v>1357.95</v>
      </c>
    </row>
    <row r="15" spans="1:8" x14ac:dyDescent="0.25">
      <c r="A15" s="8" t="s">
        <v>28</v>
      </c>
      <c r="B15" s="9">
        <v>25</v>
      </c>
      <c r="C15" s="9" t="s">
        <v>27</v>
      </c>
      <c r="D15" s="8" t="s">
        <v>11</v>
      </c>
      <c r="E15" s="10">
        <v>33</v>
      </c>
      <c r="F15" s="10">
        <v>165</v>
      </c>
      <c r="G15" s="20">
        <v>8.23</v>
      </c>
      <c r="H15" s="20">
        <v>1357.95</v>
      </c>
    </row>
    <row r="16" spans="1:8" x14ac:dyDescent="0.25">
      <c r="A16" s="8" t="s">
        <v>29</v>
      </c>
      <c r="B16" s="9">
        <v>25</v>
      </c>
      <c r="C16" s="9" t="s">
        <v>27</v>
      </c>
      <c r="D16" s="8" t="s">
        <v>11</v>
      </c>
      <c r="E16" s="10">
        <v>34</v>
      </c>
      <c r="F16" s="10">
        <v>170</v>
      </c>
      <c r="G16" s="20">
        <v>8.23</v>
      </c>
      <c r="H16" s="20">
        <v>1399.1</v>
      </c>
    </row>
    <row r="17" spans="1:8" x14ac:dyDescent="0.25">
      <c r="A17" s="8" t="s">
        <v>30</v>
      </c>
      <c r="B17" s="9">
        <v>25</v>
      </c>
      <c r="C17" s="9" t="s">
        <v>31</v>
      </c>
      <c r="D17" s="8" t="s">
        <v>11</v>
      </c>
      <c r="E17" s="10">
        <v>34</v>
      </c>
      <c r="F17" s="10">
        <v>170</v>
      </c>
      <c r="G17" s="20">
        <v>8.23</v>
      </c>
      <c r="H17" s="20">
        <v>1399.1</v>
      </c>
    </row>
    <row r="18" spans="1:8" x14ac:dyDescent="0.25">
      <c r="A18" s="8" t="s">
        <v>32</v>
      </c>
      <c r="B18" s="9">
        <v>25</v>
      </c>
      <c r="C18" s="9" t="s">
        <v>31</v>
      </c>
      <c r="D18" s="8" t="s">
        <v>11</v>
      </c>
      <c r="E18" s="10">
        <v>34</v>
      </c>
      <c r="F18" s="10">
        <v>170</v>
      </c>
      <c r="G18" s="20">
        <v>8.23</v>
      </c>
      <c r="H18" s="20">
        <v>1399.1</v>
      </c>
    </row>
    <row r="19" spans="1:8" x14ac:dyDescent="0.25">
      <c r="A19" s="8" t="s">
        <v>33</v>
      </c>
      <c r="B19" s="9">
        <v>25</v>
      </c>
      <c r="C19" s="9" t="s">
        <v>31</v>
      </c>
      <c r="D19" s="8" t="s">
        <v>11</v>
      </c>
      <c r="E19" s="10">
        <v>34</v>
      </c>
      <c r="F19" s="10">
        <v>170</v>
      </c>
      <c r="G19" s="20">
        <v>8.23</v>
      </c>
      <c r="H19" s="20">
        <v>1399.1</v>
      </c>
    </row>
    <row r="20" spans="1:8" x14ac:dyDescent="0.25">
      <c r="A20" s="8" t="s">
        <v>34</v>
      </c>
      <c r="B20" s="9">
        <v>204</v>
      </c>
      <c r="C20" s="9" t="s">
        <v>35</v>
      </c>
      <c r="D20" s="8" t="s">
        <v>11</v>
      </c>
      <c r="E20" s="10">
        <v>26</v>
      </c>
      <c r="F20" s="10">
        <v>130</v>
      </c>
      <c r="G20" s="20">
        <v>9.24</v>
      </c>
      <c r="H20" s="20">
        <v>1201.2</v>
      </c>
    </row>
    <row r="21" spans="1:8" x14ac:dyDescent="0.25">
      <c r="A21" s="8" t="s">
        <v>36</v>
      </c>
      <c r="B21" s="9">
        <v>204</v>
      </c>
      <c r="C21" s="9" t="s">
        <v>35</v>
      </c>
      <c r="D21" s="8" t="s">
        <v>11</v>
      </c>
      <c r="E21" s="10">
        <v>26</v>
      </c>
      <c r="F21" s="10">
        <v>130</v>
      </c>
      <c r="G21" s="20">
        <v>9.24</v>
      </c>
      <c r="H21" s="20">
        <v>1201.2</v>
      </c>
    </row>
    <row r="22" spans="1:8" x14ac:dyDescent="0.25">
      <c r="A22" s="8" t="s">
        <v>37</v>
      </c>
      <c r="B22" s="9">
        <v>204</v>
      </c>
      <c r="C22" s="9" t="s">
        <v>35</v>
      </c>
      <c r="D22" s="8" t="s">
        <v>11</v>
      </c>
      <c r="E22" s="10">
        <v>26</v>
      </c>
      <c r="F22" s="10">
        <v>130</v>
      </c>
      <c r="G22" s="20">
        <v>9.24</v>
      </c>
      <c r="H22" s="20">
        <v>1201.2</v>
      </c>
    </row>
    <row r="23" spans="1:8" x14ac:dyDescent="0.25">
      <c r="A23" s="8" t="s">
        <v>38</v>
      </c>
      <c r="B23" s="9">
        <v>204</v>
      </c>
      <c r="C23" s="9" t="s">
        <v>35</v>
      </c>
      <c r="D23" s="8" t="s">
        <v>11</v>
      </c>
      <c r="E23" s="10">
        <v>26</v>
      </c>
      <c r="F23" s="10">
        <v>130</v>
      </c>
      <c r="G23" s="20">
        <v>9.24</v>
      </c>
      <c r="H23" s="20">
        <v>1201.2</v>
      </c>
    </row>
    <row r="24" spans="1:8" x14ac:dyDescent="0.25">
      <c r="A24" s="8" t="s">
        <v>39</v>
      </c>
      <c r="B24" s="9">
        <v>204</v>
      </c>
      <c r="C24" s="9" t="s">
        <v>40</v>
      </c>
      <c r="D24" s="8" t="s">
        <v>11</v>
      </c>
      <c r="E24" s="10">
        <v>26</v>
      </c>
      <c r="F24" s="10">
        <v>130</v>
      </c>
      <c r="G24" s="20">
        <v>9.24</v>
      </c>
      <c r="H24" s="20">
        <v>1201.2</v>
      </c>
    </row>
    <row r="25" spans="1:8" x14ac:dyDescent="0.25">
      <c r="A25" s="8" t="s">
        <v>41</v>
      </c>
      <c r="B25" s="9">
        <v>204</v>
      </c>
      <c r="C25" s="9" t="s">
        <v>40</v>
      </c>
      <c r="D25" s="8" t="s">
        <v>11</v>
      </c>
      <c r="E25" s="10">
        <v>26</v>
      </c>
      <c r="F25" s="10">
        <v>130</v>
      </c>
      <c r="G25" s="20">
        <v>9.24</v>
      </c>
      <c r="H25" s="20">
        <v>1201.2</v>
      </c>
    </row>
    <row r="26" spans="1:8" x14ac:dyDescent="0.25">
      <c r="A26" s="8" t="s">
        <v>42</v>
      </c>
      <c r="B26" s="9">
        <v>204</v>
      </c>
      <c r="C26" s="9" t="s">
        <v>40</v>
      </c>
      <c r="D26" s="8" t="s">
        <v>11</v>
      </c>
      <c r="E26" s="10">
        <v>26</v>
      </c>
      <c r="F26" s="10">
        <v>130</v>
      </c>
      <c r="G26" s="20">
        <v>9.24</v>
      </c>
      <c r="H26" s="20">
        <v>1201.2</v>
      </c>
    </row>
    <row r="27" spans="1:8" x14ac:dyDescent="0.25">
      <c r="A27" s="8" t="s">
        <v>43</v>
      </c>
      <c r="B27" s="9">
        <v>204</v>
      </c>
      <c r="C27" s="9" t="s">
        <v>40</v>
      </c>
      <c r="D27" s="8" t="s">
        <v>11</v>
      </c>
      <c r="E27" s="10">
        <v>25</v>
      </c>
      <c r="F27" s="10">
        <v>125</v>
      </c>
      <c r="G27" s="20">
        <v>9.24</v>
      </c>
      <c r="H27" s="20">
        <v>1155</v>
      </c>
    </row>
    <row r="28" spans="1:8" x14ac:dyDescent="0.25">
      <c r="A28" s="8" t="s">
        <v>44</v>
      </c>
      <c r="F28" s="10">
        <f>SUBTOTAL(109,tblBabyBasic[PİECES])</f>
        <v>4475</v>
      </c>
      <c r="G28" s="17"/>
      <c r="H28" s="21">
        <f>SUBTOTAL(109,tblBabyBasic[סה"כ ₪])</f>
        <v>37874.599999999991</v>
      </c>
    </row>
    <row r="30" spans="1:8" x14ac:dyDescent="0.25">
      <c r="A30" s="23"/>
      <c r="B30" s="23"/>
      <c r="C30" s="23"/>
      <c r="D30" s="23"/>
      <c r="E30" s="23"/>
      <c r="F30" s="24"/>
      <c r="G30" s="23"/>
      <c r="H30" s="26"/>
    </row>
    <row r="32" spans="1:8" x14ac:dyDescent="0.25">
      <c r="A32" s="2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אריה</vt:lpstr>
      <vt:lpstr>בייבי בייסיק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çiğdem efe</dc:creator>
  <cp:lastModifiedBy>תמי לוי</cp:lastModifiedBy>
  <cp:lastPrinted>2026-10-05T05:52:49Z</cp:lastPrinted>
  <dcterms:created xsi:type="dcterms:W3CDTF">2022-07-01T11:47:51Z</dcterms:created>
  <dcterms:modified xsi:type="dcterms:W3CDTF">2026-10-05T05:53:29Z</dcterms:modified>
</cp:coreProperties>
</file>