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Invoice" sheetId="3" state="visible" r:id="rId3"/>
  </sheets>
  <definedNames>
    <definedName name="_xlnm.Print_Area" localSheetId="0">'Dashboard'!$A$1:$K$30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$-409]DD MMM YYYY"/>
    <numFmt numFmtId="166" formatCode="yyyy-mm-dd h:mm:ss"/>
  </numFmts>
  <fonts count="10">
    <font>
      <name val="Calibri"/>
      <family val="2"/>
      <color theme="1"/>
      <sz val="11"/>
      <scheme val="minor"/>
    </font>
    <font>
      <name val="Calibri"/>
      <b val="1"/>
      <color rgb="001E293B"/>
      <sz val="20"/>
    </font>
    <font>
      <name val="Calibri"/>
      <color rgb="0064748B"/>
      <sz val="11"/>
    </font>
    <font>
      <name val="Calibri"/>
      <b val="1"/>
      <color rgb="00FFFFFF"/>
      <sz val="11"/>
    </font>
    <font>
      <name val="Calibri"/>
      <b val="1"/>
      <color rgb="00FFFFFF"/>
      <sz val="24"/>
    </font>
    <font>
      <name val="Calibri"/>
      <b val="1"/>
      <color rgb="001E293B"/>
      <sz val="14"/>
    </font>
    <font>
      <name val="Calibri"/>
      <color rgb="000F172A"/>
      <sz val="12"/>
    </font>
    <font>
      <name val="Calibri"/>
      <b val="1"/>
      <color rgb="000F172A"/>
      <sz val="12"/>
    </font>
    <font>
      <name val="Calibri"/>
      <b val="1"/>
      <color rgb="00FFFFFF"/>
      <sz val="12"/>
    </font>
    <font>
      <name val="Calibri"/>
      <i val="1"/>
      <color rgb="0064748B"/>
      <sz val="10"/>
    </font>
  </fonts>
  <fills count="11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15803D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/>
      <right/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164" fontId="4" fillId="2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4" fontId="7" fillId="6" borderId="1" applyAlignment="1" pivotButton="0" quotePrefix="0" xfId="0">
      <alignment horizontal="right" vertical="center"/>
    </xf>
    <xf numFmtId="164" fontId="0" fillId="0" borderId="0" pivotButton="0" quotePrefix="0" xfId="0"/>
    <xf numFmtId="165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3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3" fontId="8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165" fontId="6" fillId="10" borderId="1" applyAlignment="1" pivotButton="0" quotePrefix="0" xfId="0">
      <alignment horizontal="left" vertical="center" wrapText="1"/>
    </xf>
    <xf numFmtId="9" fontId="6" fillId="10" borderId="1" applyAlignment="1" pivotButton="0" quotePrefix="0" xfId="0">
      <alignment horizontal="left" vertical="center" wrapText="1"/>
    </xf>
    <xf numFmtId="3" fontId="7" fillId="9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September 2026 shipment — US dollars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B45309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B4530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5803D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B45309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91C1C"/>
              </a:solidFill>
              <a:ln xmlns:a="http://schemas.openxmlformats.org/drawingml/2006/main">
                <a:prstDash val="solid"/>
              </a:ln>
            </spPr>
          </dPt>
          <dLbls>
            <numFmt formatCode="&quot;$&quot;#,##0"/>
            <showLegendKey val="0"/>
            <showVal val="1"/>
            <showCatName val="0"/>
            <showSerName val="0"/>
          </dLbls>
          <cat>
            <numRef>
              <f>'Dashboard'!$M$10:$M$13</f>
            </numRef>
          </cat>
          <val>
            <numRef>
              <f>'Dashboard'!$N$10:$N$13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Invoice SF01078 by model — with VAT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B45309"/>
            </a:solidFill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B45309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B45309"/>
              </a:solidFill>
              <a:ln xmlns:a="http://schemas.openxmlformats.org/drawingml/2006/main">
                <a:prstDash val="solid"/>
              </a:ln>
            </spPr>
          </dPt>
          <dLbls>
            <numFmt formatCode="&quot;$&quot;#,##0"/>
            <showLegendKey val="0"/>
            <showVal val="1"/>
            <showCatName val="0"/>
            <showSerName val="0"/>
          </dLbls>
          <cat>
            <numRef>
              <f>'Dashboard'!$M$18:$M$19</f>
            </numRef>
          </cat>
          <val>
            <numRef>
              <f>'Dashboard'!$N$18:$N$19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plotVisOnly val="0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4536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22</row>
      <rowOff>0</rowOff>
    </from>
    <ext cx="4536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N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38" customWidth="1" min="3" max="3"/>
    <col width="17" customWidth="1" min="4" max="4"/>
    <col width="17" customWidth="1" min="5" max="5"/>
    <col width="17" customWidth="1" min="6" max="6"/>
    <col width="3" customWidth="1" min="7" max="7"/>
    <col width="16" customWidth="1" min="8" max="8"/>
    <col width="16" customWidth="1" min="9" max="9"/>
    <col width="16" customWidth="1" min="10" max="10"/>
    <col width="16" customWidth="1" min="11" max="11"/>
    <col hidden="1" width="13" customWidth="1" min="13" max="13"/>
    <col hidden="1" width="13" customWidth="1" min="14" max="14"/>
  </cols>
  <sheetData>
    <row r="1" ht="30" customHeight="1">
      <c r="B1" s="1" t="inlineStr">
        <is>
          <t>Nibby Baby (Omer) — Leo Israel account</t>
        </is>
      </c>
    </row>
    <row r="2">
      <c r="B2" s="2" t="inlineStr">
        <is>
          <t>Statement dated 30 Sep 2026 and invoice SF01078. All amounts are US dollars. Source PDFs: balance 01.10.26.pdf, 025-204 invoice.pdf.</t>
        </is>
      </c>
    </row>
    <row r="4" ht="22" customHeight="1">
      <c r="B4" s="3" t="inlineStr">
        <is>
          <t>YOU OWE NOW</t>
        </is>
      </c>
      <c r="C4" s="4" t="n"/>
      <c r="D4" s="4" t="n"/>
      <c r="E4" s="5" t="inlineStr">
        <is>
          <t>Shipment total (Sep 2026)</t>
        </is>
      </c>
      <c r="F4" s="6" t="n"/>
      <c r="H4" s="7" t="inlineStr">
        <is>
          <t>Advance paid (3 Sep)</t>
        </is>
      </c>
      <c r="I4" s="8" t="n"/>
      <c r="J4" s="9" t="inlineStr">
        <is>
          <t>Invoice SF01078 (30 Sep)</t>
        </is>
      </c>
      <c r="K4" s="10" t="n"/>
    </row>
    <row r="5" ht="26" customHeight="1">
      <c r="B5" s="11">
        <f>History!I14</f>
        <v/>
      </c>
      <c r="C5" s="4" t="n"/>
      <c r="D5" s="4" t="n"/>
      <c r="E5" s="12">
        <f>D10+D12</f>
        <v/>
      </c>
      <c r="F5" s="6" t="n"/>
      <c r="H5" s="13">
        <f>E11</f>
        <v/>
      </c>
      <c r="I5" s="8" t="n"/>
      <c r="J5" s="14">
        <f>Invoice!F18</f>
        <v/>
      </c>
      <c r="K5" s="10" t="n"/>
    </row>
    <row r="6" ht="26" customHeight="1">
      <c r="B6" s="4" t="n"/>
      <c r="C6" s="4" t="n"/>
      <c r="D6" s="4" t="n"/>
      <c r="E6" s="6" t="n"/>
      <c r="F6" s="6" t="n"/>
      <c r="H6" s="8" t="n"/>
      <c r="I6" s="8" t="n"/>
      <c r="J6" s="10" t="n"/>
      <c r="K6" s="10" t="n"/>
    </row>
    <row r="8">
      <c r="B8" s="15" t="inlineStr">
        <is>
          <t>September 2026 shipment — what is open</t>
        </is>
      </c>
    </row>
    <row r="9" ht="30" customHeight="1">
      <c r="B9" s="9" t="inlineStr">
        <is>
          <t>Date</t>
        </is>
      </c>
      <c r="C9" s="9" t="inlineStr">
        <is>
          <t>What happened</t>
        </is>
      </c>
      <c r="D9" s="9" t="inlineStr">
        <is>
          <t>You owe (+)</t>
        </is>
      </c>
      <c r="E9" s="9" t="inlineStr">
        <is>
          <t>You paid (−)</t>
        </is>
      </c>
      <c r="F9" s="9" t="inlineStr">
        <is>
          <t>Balance</t>
        </is>
      </c>
    </row>
    <row r="10" ht="24" customHeight="1">
      <c r="B10" s="16">
        <f>History!B11</f>
        <v/>
      </c>
      <c r="C10" s="17">
        <f>History!D11</f>
        <v/>
      </c>
      <c r="D10" s="18">
        <f>IF(History!E11&gt;0,History!E11,"")</f>
        <v/>
      </c>
      <c r="E10" s="18">
        <f>IF(History!F11&gt;0,History!F11,"")</f>
        <v/>
      </c>
      <c r="F10" s="18">
        <f>History!I11</f>
        <v/>
      </c>
      <c r="M10" t="inlineStr">
        <is>
          <t>Invoice 1 Sep</t>
        </is>
      </c>
      <c r="N10" s="19">
        <f>D10</f>
        <v/>
      </c>
    </row>
    <row r="11" ht="24" customHeight="1">
      <c r="B11" s="20">
        <f>History!B12</f>
        <v/>
      </c>
      <c r="C11" s="21">
        <f>History!D12</f>
        <v/>
      </c>
      <c r="D11" s="22">
        <f>IF(History!E12&gt;0,History!E12,"")</f>
        <v/>
      </c>
      <c r="E11" s="22">
        <f>IF(History!F12&gt;0,History!F12,"")</f>
        <v/>
      </c>
      <c r="F11" s="22">
        <f>History!I12</f>
        <v/>
      </c>
      <c r="M11" t="inlineStr">
        <is>
          <t>Advance 3 Sep</t>
        </is>
      </c>
      <c r="N11" s="19">
        <f>E11</f>
        <v/>
      </c>
    </row>
    <row r="12" ht="24" customHeight="1">
      <c r="B12" s="16">
        <f>History!B13</f>
        <v/>
      </c>
      <c r="C12" s="17">
        <f>History!D13</f>
        <v/>
      </c>
      <c r="D12" s="18">
        <f>IF(History!E13&gt;0,History!E13,"")</f>
        <v/>
      </c>
      <c r="E12" s="18">
        <f>IF(History!F13&gt;0,History!F13,"")</f>
        <v/>
      </c>
      <c r="F12" s="18">
        <f>History!I13</f>
        <v/>
      </c>
      <c r="M12" t="inlineStr">
        <is>
          <t>Invoice 30 Sep</t>
        </is>
      </c>
      <c r="N12" s="19">
        <f>D12</f>
        <v/>
      </c>
    </row>
    <row r="13" ht="26" customHeight="1">
      <c r="B13" s="23" t="inlineStr">
        <is>
          <t>Remaining balance</t>
        </is>
      </c>
      <c r="C13" s="23" t="n"/>
      <c r="D13" s="24">
        <f>SUM(D10:D12)</f>
        <v/>
      </c>
      <c r="E13" s="24">
        <f>SUM(E10:E12)</f>
        <v/>
      </c>
      <c r="F13" s="24">
        <f>D13-E13</f>
        <v/>
      </c>
      <c r="M13" t="inlineStr">
        <is>
          <t>You owe now</t>
        </is>
      </c>
      <c r="N13" s="19">
        <f>F13</f>
        <v/>
      </c>
    </row>
    <row r="14" ht="30" customHeight="1">
      <c r="B14" s="25" t="inlineStr">
        <is>
          <t>Shipment $69,800.14 − advance $19,250.00 = $50,550.14 still to pay. Everything before 2026 was settled in full on 8 Jan 2024 (see History).</t>
        </is>
      </c>
    </row>
    <row r="16">
      <c r="B16" s="15" t="inlineStr">
        <is>
          <t>Invoice SF01078 — 30 Sep 2026</t>
        </is>
      </c>
    </row>
    <row r="17" ht="30" customHeight="1">
      <c r="B17" s="9" t="inlineStr">
        <is>
          <t>Model</t>
        </is>
      </c>
      <c r="C17" s="9" t="inlineStr">
        <is>
          <t>Pieces</t>
        </is>
      </c>
      <c r="D17" s="9" t="inlineStr">
        <is>
          <t>Price / piece</t>
        </is>
      </c>
      <c r="E17" s="9" t="inlineStr">
        <is>
          <t>Before VAT</t>
        </is>
      </c>
      <c r="F17" s="9" t="inlineStr">
        <is>
          <t>With 10% VAT</t>
        </is>
      </c>
    </row>
    <row r="18" ht="24" customHeight="1">
      <c r="B18" s="17">
        <f>Invoice!B12</f>
        <v/>
      </c>
      <c r="C18" s="26">
        <f>Invoice!C12</f>
        <v/>
      </c>
      <c r="D18" s="27">
        <f>Invoice!D12</f>
        <v/>
      </c>
      <c r="E18" s="18">
        <f>Invoice!E12</f>
        <v/>
      </c>
      <c r="F18" s="18">
        <f>Invoice!F12</f>
        <v/>
      </c>
      <c r="M18" t="inlineStr">
        <is>
          <t>204 MODEL</t>
        </is>
      </c>
      <c r="N18" s="19">
        <f>F18</f>
        <v/>
      </c>
    </row>
    <row r="19" ht="24" customHeight="1">
      <c r="B19" s="17">
        <f>Invoice!B13</f>
        <v/>
      </c>
      <c r="C19" s="26">
        <f>Invoice!C13</f>
        <v/>
      </c>
      <c r="D19" s="27">
        <f>Invoice!D13</f>
        <v/>
      </c>
      <c r="E19" s="18">
        <f>Invoice!E13</f>
        <v/>
      </c>
      <c r="F19" s="18">
        <f>Invoice!F13</f>
        <v/>
      </c>
      <c r="M19" t="inlineStr">
        <is>
          <t>025 MODEL</t>
        </is>
      </c>
      <c r="N19" s="19">
        <f>F19</f>
        <v/>
      </c>
    </row>
    <row r="20" ht="26" customHeight="1">
      <c r="B20" s="23" t="inlineStr">
        <is>
          <t>Invoice total</t>
        </is>
      </c>
      <c r="C20" s="23" t="n"/>
      <c r="D20" s="28">
        <f>Invoice!C12+Invoice!C13</f>
        <v/>
      </c>
      <c r="E20" s="24">
        <f>Invoice!F15</f>
        <v/>
      </c>
      <c r="F20" s="24">
        <f>Invoice!F18</f>
        <v/>
      </c>
    </row>
    <row r="21">
      <c r="B21" s="25" t="inlineStr">
        <is>
          <t>18,278 pieces. Turkish VAT 10% is included in the total. This invoice is the 30 Sep line above.</t>
        </is>
      </c>
    </row>
    <row r="23">
      <c r="B23" s="15" t="inlineStr">
        <is>
          <t>How to read</t>
        </is>
      </c>
    </row>
    <row r="24" ht="30" customHeight="1">
      <c r="B24" s="25" t="inlineStr">
        <is>
          <t>• Omer's accounting software prints “TL” next to every number, but the figures are US dollars: the unit prices ($2.14, $2.02) match his dollar price list, and the 1 Sep invoice equals the first-shipment total $26,071.24 + 10% VAT.</t>
        </is>
      </c>
    </row>
    <row r="25" ht="30" customHeight="1">
      <c r="B25" s="25" t="inlineStr">
        <is>
          <t>• “You owe” = an invoice from Nibby Baby. “You paid” = cash you already sent.</t>
        </is>
      </c>
    </row>
    <row r="26" ht="30" customHeight="1">
      <c r="B26" s="25" t="inlineStr">
        <is>
          <t>• The Turkish PDF lists newest first and its running-balance column is not a true balance. The History sheet is oldest-first with a real running balance and matches the PDF totals.</t>
        </is>
      </c>
    </row>
  </sheetData>
  <mergeCells count="19">
    <mergeCell ref="B5:D6"/>
    <mergeCell ref="B16:F16"/>
    <mergeCell ref="B25:F25"/>
    <mergeCell ref="H4:I4"/>
    <mergeCell ref="B21:F21"/>
    <mergeCell ref="E4:F4"/>
    <mergeCell ref="H5:I6"/>
    <mergeCell ref="B14:F14"/>
    <mergeCell ref="B8:F8"/>
    <mergeCell ref="J5:K6"/>
    <mergeCell ref="B13:C13"/>
    <mergeCell ref="J4:K4"/>
    <mergeCell ref="B4:D4"/>
    <mergeCell ref="E5:F6"/>
    <mergeCell ref="B2:K2"/>
    <mergeCell ref="B1:K1"/>
    <mergeCell ref="B24:F24"/>
    <mergeCell ref="B20:C20"/>
    <mergeCell ref="B26:F26"/>
  </mergeCells>
  <pageMargins left="0.4" right="0.4" top="1" bottom="1" header="0.5" footer="0.5"/>
  <pageSetup orientation="landscape" paperSize="9" fitToHeight="1" fitToWidth="1"/>
  <headerFooter>
    <oddHeader/>
    <oddFooter>&amp;LNibby Baby (Omer) · Leo Israel · all amounts in US dollars&amp;RPage &amp;P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J17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5" customWidth="1" min="2" max="2"/>
    <col width="11" customWidth="1" min="3" max="3"/>
    <col width="46" customWidth="1" min="4" max="4"/>
    <col width="17" customWidth="1" min="5" max="5"/>
    <col width="17" customWidth="1" min="6" max="6"/>
    <col width="3" customWidth="1" min="7" max="7"/>
    <col width="3" customWidth="1" min="8" max="8"/>
    <col width="17" customWidth="1" min="9" max="9"/>
    <col width="20" customWidth="1" min="10" max="10"/>
  </cols>
  <sheetData>
    <row r="1" ht="30" customHeight="1">
      <c r="B1" s="1" t="inlineStr">
        <is>
          <t>Full account history — oldest first</t>
        </is>
      </c>
    </row>
    <row r="2">
      <c r="B2" s="2" t="inlineStr">
        <is>
          <t>Account CR00044, Leo Israel at Nibby Baby. Amounts exactly as printed on the statement (US dollars).</t>
        </is>
      </c>
    </row>
    <row r="5" ht="30" customHeight="1">
      <c r="B5" s="9" t="inlineStr">
        <is>
          <t>Date</t>
        </is>
      </c>
      <c r="C5" s="9" t="inlineStr">
        <is>
          <t>Type</t>
        </is>
      </c>
      <c r="D5" s="9" t="inlineStr">
        <is>
          <t>Description</t>
        </is>
      </c>
      <c r="E5" s="9" t="inlineStr">
        <is>
          <t>Invoice</t>
        </is>
      </c>
      <c r="F5" s="9" t="inlineStr">
        <is>
          <t>Payment</t>
        </is>
      </c>
      <c r="I5" s="9" t="inlineStr">
        <is>
          <t>Balance</t>
        </is>
      </c>
      <c r="J5" s="9" t="inlineStr">
        <is>
          <t>After this line</t>
        </is>
      </c>
    </row>
    <row r="6" ht="24" customHeight="1">
      <c r="B6" s="16" t="n">
        <v>45219</v>
      </c>
      <c r="C6" s="17" t="inlineStr">
        <is>
          <t>Invoice</t>
        </is>
      </c>
      <c r="D6" s="17" t="inlineStr">
        <is>
          <t>Models 204 and 025</t>
        </is>
      </c>
      <c r="E6" s="18" t="n">
        <v>25004.58</v>
      </c>
      <c r="F6" s="18" t="n"/>
      <c r="I6" s="18">
        <f>N(E6)-N(F6)</f>
        <v/>
      </c>
      <c r="J6" s="29">
        <f>IF(ABS(I6)&lt;0.005,"Account at zero","Still owed")</f>
        <v/>
      </c>
    </row>
    <row r="7" ht="24" customHeight="1">
      <c r="B7" s="20" t="n">
        <v>45244</v>
      </c>
      <c r="C7" s="21" t="inlineStr">
        <is>
          <t>Payment</t>
        </is>
      </c>
      <c r="D7" s="21" t="inlineStr">
        <is>
          <t>Cash paid</t>
        </is>
      </c>
      <c r="E7" s="22" t="n"/>
      <c r="F7" s="22" t="n">
        <v>6968</v>
      </c>
      <c r="I7" s="22">
        <f>I6+N(E7)-N(F7)</f>
        <v/>
      </c>
      <c r="J7" s="30">
        <f>IF(ABS(I7)&lt;0.005,"Account at zero","Still owed")</f>
        <v/>
      </c>
    </row>
    <row r="8" ht="24" customHeight="1">
      <c r="B8" s="16" t="n">
        <v>45254</v>
      </c>
      <c r="C8" s="17" t="inlineStr">
        <is>
          <t>Invoice</t>
        </is>
      </c>
      <c r="D8" s="17" t="inlineStr">
        <is>
          <t>Model 025</t>
        </is>
      </c>
      <c r="E8" s="18" t="n">
        <v>23310.72</v>
      </c>
      <c r="F8" s="18" t="n"/>
      <c r="I8" s="18">
        <f>I7+N(E8)-N(F8)</f>
        <v/>
      </c>
      <c r="J8" s="29">
        <f>IF(ABS(I8)&lt;0.005,"Account at zero","Still owed")</f>
        <v/>
      </c>
    </row>
    <row r="9" ht="24" customHeight="1">
      <c r="B9" s="20" t="n">
        <v>45260</v>
      </c>
      <c r="C9" s="21" t="inlineStr">
        <is>
          <t>Payment</t>
        </is>
      </c>
      <c r="D9" s="21" t="inlineStr">
        <is>
          <t>Cash paid</t>
        </is>
      </c>
      <c r="E9" s="22" t="n"/>
      <c r="F9" s="22" t="n">
        <v>17972.58</v>
      </c>
      <c r="I9" s="22">
        <f>I8+N(E9)-N(F9)</f>
        <v/>
      </c>
      <c r="J9" s="30">
        <f>IF(ABS(I9)&lt;0.005,"Account at zero","Still owed")</f>
        <v/>
      </c>
    </row>
    <row r="10" ht="24" customHeight="1">
      <c r="B10" s="31" t="n">
        <v>45299</v>
      </c>
      <c r="C10" s="32" t="inlineStr">
        <is>
          <t>Payment</t>
        </is>
      </c>
      <c r="D10" s="32" t="inlineStr">
        <is>
          <t>Cash paid — account cleared to zero</t>
        </is>
      </c>
      <c r="E10" s="33" t="n"/>
      <c r="F10" s="33" t="n">
        <v>23374.72</v>
      </c>
      <c r="I10" s="33">
        <f>I9+N(E10)-N(F10)</f>
        <v/>
      </c>
      <c r="J10" s="34">
        <f>IF(ABS(I10)&lt;0.005,"Account at zero","Still owed")</f>
        <v/>
      </c>
    </row>
    <row r="11" ht="24" customHeight="1">
      <c r="B11" s="16" t="n">
        <v>46266</v>
      </c>
      <c r="C11" s="17" t="inlineStr">
        <is>
          <t>Invoice</t>
        </is>
      </c>
      <c r="D11" s="17" t="inlineStr">
        <is>
          <t>Models 200, 201, 202 — first shipment</t>
        </is>
      </c>
      <c r="E11" s="18" t="n">
        <v>28678.36</v>
      </c>
      <c r="F11" s="18" t="n"/>
      <c r="I11" s="18">
        <f>I10+N(E11)-N(F11)</f>
        <v/>
      </c>
      <c r="J11" s="29">
        <f>IF(ABS(I11)&lt;0.005,"Account at zero","Still owed")</f>
        <v/>
      </c>
    </row>
    <row r="12" ht="24" customHeight="1">
      <c r="B12" s="20" t="n">
        <v>46268</v>
      </c>
      <c r="C12" s="21" t="inlineStr">
        <is>
          <t>Payment</t>
        </is>
      </c>
      <c r="D12" s="21" t="inlineStr">
        <is>
          <t>Advance payment</t>
        </is>
      </c>
      <c r="E12" s="22" t="n"/>
      <c r="F12" s="22" t="n">
        <v>19250</v>
      </c>
      <c r="I12" s="22">
        <f>I11+N(E12)-N(F12)</f>
        <v/>
      </c>
      <c r="J12" s="30">
        <f>IF(ABS(I12)&lt;0.005,"Account at zero","Still owed")</f>
        <v/>
      </c>
    </row>
    <row r="13" ht="24" customHeight="1">
      <c r="B13" s="16" t="n">
        <v>46295</v>
      </c>
      <c r="C13" s="17" t="inlineStr">
        <is>
          <t>Invoice</t>
        </is>
      </c>
      <c r="D13" s="17" t="inlineStr">
        <is>
          <t>Models 204 and 025 — invoice SF01078</t>
        </is>
      </c>
      <c r="E13" s="18" t="n">
        <v>41121.78</v>
      </c>
      <c r="F13" s="18" t="n"/>
      <c r="I13" s="18">
        <f>I12+N(E13)-N(F13)</f>
        <v/>
      </c>
      <c r="J13" s="29">
        <f>IF(ABS(I13)&lt;0.005,"Account at zero","Still owed")</f>
        <v/>
      </c>
    </row>
    <row r="14" ht="26" customHeight="1">
      <c r="B14" s="23" t="inlineStr">
        <is>
          <t>Totals (match the PDF footer)</t>
        </is>
      </c>
      <c r="C14" s="23" t="n"/>
      <c r="D14" s="23" t="n"/>
      <c r="E14" s="24">
        <f>SUM(E6:E13)</f>
        <v/>
      </c>
      <c r="F14" s="24">
        <f>SUM(F6:F13)</f>
        <v/>
      </c>
      <c r="I14" s="24">
        <f>I13</f>
        <v/>
      </c>
      <c r="J14" s="35" t="inlineStr">
        <is>
          <t>Leo Israel owes this</t>
        </is>
      </c>
    </row>
    <row r="16" ht="30" customHeight="1">
      <c r="B16" s="25" t="inlineStr">
        <is>
          <t>PDF footer: total invoices 118,115.44 · total payments 67,565.30 · balance 50,550.14 owed (Borç). The totals above reproduce those figures exactly.</t>
        </is>
      </c>
    </row>
    <row r="17">
      <c r="B17" s="25" t="inlineStr">
        <is>
          <t>Supplier: Nibby Baby, Kazımkarabekir Mh. Kızılcık Sk. No. 18-24 · phone 0538 378 58 86 · report printed 30 Sep 2026 17:45.</t>
        </is>
      </c>
    </row>
  </sheetData>
  <mergeCells count="5">
    <mergeCell ref="B14:D14"/>
    <mergeCell ref="B17:J17"/>
    <mergeCell ref="B1:J1"/>
    <mergeCell ref="B2:J2"/>
    <mergeCell ref="B16:J16"/>
  </mergeCells>
  <pageMargins left="0.4" right="0.4" top="1" bottom="1" header="0.5" footer="0.5"/>
  <pageSetup orientation="landscape" paperSize="9" fitToHeight="1" fitToWidth="1"/>
  <headerFooter>
    <oddHeader/>
    <oddFooter>&amp;LNibby Baby (Omer) · Leo Israel · all amounts in US dollars&amp;RPage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1:F21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14" customWidth="1" min="3" max="3"/>
    <col width="18" customWidth="1" min="4" max="4"/>
    <col width="20" customWidth="1" min="5" max="5"/>
    <col width="20" customWidth="1" min="6" max="6"/>
  </cols>
  <sheetData>
    <row r="1" ht="30" customHeight="1">
      <c r="B1" s="1" t="inlineStr">
        <is>
          <t>Invoice SF01078 — 30 Sep 2026, 17:40</t>
        </is>
      </c>
    </row>
    <row r="2">
      <c r="B2" s="2" t="inlineStr">
        <is>
          <t>Nibby Baby (Omer) to Leo Israel. US dollars. Unit prices are before Turkish VAT (10%).</t>
        </is>
      </c>
    </row>
    <row r="4">
      <c r="B4" s="36" t="inlineStr">
        <is>
          <t>Customer</t>
        </is>
      </c>
      <c r="C4" s="37" t="inlineStr">
        <is>
          <t>Leo Israel</t>
        </is>
      </c>
      <c r="D4" s="37" t="n"/>
    </row>
    <row r="5">
      <c r="B5" s="36" t="inlineStr">
        <is>
          <t>Supplier</t>
        </is>
      </c>
      <c r="C5" s="37" t="inlineStr">
        <is>
          <t>Nibby Baby (Omer), Turkey</t>
        </is>
      </c>
      <c r="D5" s="37" t="n"/>
    </row>
    <row r="6">
      <c r="B6" s="36" t="inlineStr">
        <is>
          <t>Invoice no.</t>
        </is>
      </c>
      <c r="C6" s="37" t="inlineStr">
        <is>
          <t>SF01078</t>
        </is>
      </c>
      <c r="D6" s="37" t="n"/>
    </row>
    <row r="7">
      <c r="B7" s="36" t="inlineStr">
        <is>
          <t>Date</t>
        </is>
      </c>
      <c r="C7" s="38" t="n">
        <v>46295</v>
      </c>
      <c r="D7" s="37" t="n"/>
    </row>
    <row r="8">
      <c r="B8" s="36" t="inlineStr">
        <is>
          <t>VAT</t>
        </is>
      </c>
      <c r="C8" s="39" t="n">
        <v>0.1</v>
      </c>
      <c r="D8" s="37" t="n"/>
    </row>
    <row r="11" ht="30" customHeight="1">
      <c r="B11" s="9" t="inlineStr">
        <is>
          <t>Model</t>
        </is>
      </c>
      <c r="C11" s="9" t="inlineStr">
        <is>
          <t>Pieces</t>
        </is>
      </c>
      <c r="D11" s="9" t="inlineStr">
        <is>
          <t>Price / piece</t>
        </is>
      </c>
      <c r="E11" s="9" t="inlineStr">
        <is>
          <t>Before VAT</t>
        </is>
      </c>
      <c r="F11" s="9" t="inlineStr">
        <is>
          <t>With VAT</t>
        </is>
      </c>
    </row>
    <row r="12" ht="24" customHeight="1">
      <c r="B12" s="17" t="inlineStr">
        <is>
          <t>204 MODEL</t>
        </is>
      </c>
      <c r="C12" s="26" t="n">
        <v>3849</v>
      </c>
      <c r="D12" s="27" t="n">
        <v>2.14</v>
      </c>
      <c r="E12" s="18">
        <f>C12*D12</f>
        <v/>
      </c>
      <c r="F12" s="18" t="n">
        <v>9060.549999999999</v>
      </c>
    </row>
    <row r="13" ht="24" customHeight="1">
      <c r="B13" s="17" t="inlineStr">
        <is>
          <t>025 MODEL</t>
        </is>
      </c>
      <c r="C13" s="26" t="n">
        <v>14429</v>
      </c>
      <c r="D13" s="27" t="n">
        <v>2.02</v>
      </c>
      <c r="E13" s="18">
        <f>C13*D13</f>
        <v/>
      </c>
      <c r="F13" s="18" t="n">
        <v>32061.24</v>
      </c>
    </row>
    <row r="15" ht="22" customHeight="1">
      <c r="B15" s="36" t="inlineStr">
        <is>
          <t>Before VAT (VAT base)</t>
        </is>
      </c>
      <c r="C15" s="36" t="n"/>
      <c r="D15" s="36" t="n"/>
      <c r="E15" s="40" t="n"/>
      <c r="F15" s="41">
        <f>SUM(E12:E13)</f>
        <v/>
      </c>
    </row>
    <row r="16" ht="22" customHeight="1">
      <c r="B16" s="36" t="inlineStr">
        <is>
          <t>VAT 10%</t>
        </is>
      </c>
      <c r="C16" s="36" t="n"/>
      <c r="D16" s="36" t="n"/>
      <c r="E16" s="40" t="n"/>
      <c r="F16" s="41">
        <f>ROUND(F15*$C$8,2)</f>
        <v/>
      </c>
    </row>
    <row r="18" ht="26" customHeight="1">
      <c r="B18" s="23" t="inlineStr">
        <is>
          <t>TOTAL TO PAY</t>
        </is>
      </c>
      <c r="C18" s="23" t="n"/>
      <c r="D18" s="23" t="n"/>
      <c r="E18" s="28">
        <f>C12+C13</f>
        <v/>
      </c>
      <c r="F18" s="24">
        <f>F15+F16</f>
        <v/>
      </c>
    </row>
    <row r="20" ht="30" customHeight="1">
      <c r="B20" s="25" t="inlineStr">
        <is>
          <t>Printed line totals (9,060.55 + 32,061.24) add to 41,121.79; the official total is 41,121.78 because VAT was rounded once on the whole invoice.</t>
        </is>
      </c>
    </row>
    <row r="21" ht="30" customHeight="1">
      <c r="B21" s="25" t="inlineStr">
        <is>
          <t>The PDF prints the currency as TL and the amount in words in Turkish, but the figures are US dollars (see Dashboard notes). Barcode at top reads 1 413000 000000.</t>
        </is>
      </c>
    </row>
  </sheetData>
  <mergeCells count="12">
    <mergeCell ref="B21:F21"/>
    <mergeCell ref="C6:D6"/>
    <mergeCell ref="C7:D7"/>
    <mergeCell ref="B2:F2"/>
    <mergeCell ref="B20:F20"/>
    <mergeCell ref="C5:D5"/>
    <mergeCell ref="B16:D16"/>
    <mergeCell ref="B18:D18"/>
    <mergeCell ref="B1:F1"/>
    <mergeCell ref="B15:D15"/>
    <mergeCell ref="C8:D8"/>
    <mergeCell ref="C4:D4"/>
  </mergeCells>
  <pageMargins left="0.4" right="0.4" top="1" bottom="1" header="0.5" footer="0.5"/>
  <pageSetup orientation="landscape" paperSize="9" fitToHeight="1" fitToWidth="1"/>
  <headerFooter>
    <oddHeader/>
    <oddFooter>&amp;LNibby Baby (Omer) · Leo Israel · all amounts in US dollars&amp;RPage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2026-10-04T05:15:44Z</dcterms:created>
  <dcterms:modified xmlns:dcterms="http://purl.org/dc/terms/" xmlns:xsi="http://www.w3.org/2001/XMLSchema-instance" xsi:type="dcterms:W3CDTF">2026-10-04T05:15:44Z</dcterms:modified>
</cp:coreProperties>
</file>