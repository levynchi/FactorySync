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itex excell\supplier_documents\4\"/>
    </mc:Choice>
  </mc:AlternateContent>
  <xr:revisionPtr revIDLastSave="0" documentId="8_{0BD84574-BC0E-4B9A-8C91-793CB300E4D9}" xr6:coauthVersionLast="47" xr6:coauthVersionMax="47" xr10:uidLastSave="{00000000-0000-0000-0000-000000000000}"/>
  <bookViews>
    <workbookView xWindow="-108" yWindow="-108" windowWidth="23256" windowHeight="12456" activeTab="2" xr2:uid="{87F58AFD-E01C-4C7D-A321-4D7D208D0432}"/>
  </bookViews>
  <sheets>
    <sheet name="Sayfa1" sheetId="1" r:id="rId1"/>
    <sheet name="arye" sheetId="2" r:id="rId2"/>
    <sheet name="babybasic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" i="3" l="1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<sst xmlns="http://schemas.openxmlformats.org/spreadsheetml/2006/main" count="437" uniqueCount="94">
  <si>
    <t>CARTON</t>
  </si>
  <si>
    <t>MODEL NO</t>
  </si>
  <si>
    <t>SİZE</t>
  </si>
  <si>
    <t>BRAND</t>
  </si>
  <si>
    <t>PACKET</t>
  </si>
  <si>
    <t>PİECES</t>
  </si>
  <si>
    <t>0-3</t>
  </si>
  <si>
    <t>3-6</t>
  </si>
  <si>
    <t>BABY BASİC</t>
  </si>
  <si>
    <t>82</t>
  </si>
  <si>
    <t>51</t>
  </si>
  <si>
    <t>410</t>
  </si>
  <si>
    <t>255</t>
  </si>
  <si>
    <t>2560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</si>
  <si>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</si>
  <si>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</si>
  <si>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</si>
  <si>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</si>
  <si>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</si>
  <si>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</si>
  <si>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</si>
  <si>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</si>
  <si>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</si>
  <si>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</si>
  <si>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</si>
  <si>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200</t>
  </si>
  <si>
    <t>115</t>
  </si>
  <si>
    <t>106</t>
  </si>
  <si>
    <t>101</t>
  </si>
  <si>
    <t>ARYE</t>
  </si>
  <si>
    <t>345</t>
  </si>
  <si>
    <t>318</t>
  </si>
  <si>
    <t>303</t>
  </si>
  <si>
    <t>3558</t>
  </si>
  <si>
    <t>19</t>
  </si>
  <si>
    <t>20</t>
  </si>
  <si>
    <t>21</t>
  </si>
  <si>
    <t>22</t>
  </si>
  <si>
    <t>23</t>
  </si>
  <si>
    <t>24</t>
  </si>
  <si>
    <t>12-18</t>
  </si>
  <si>
    <t>18-24</t>
  </si>
  <si>
    <t>24-30</t>
  </si>
  <si>
    <t>202</t>
  </si>
  <si>
    <t>52</t>
  </si>
  <si>
    <t>260</t>
  </si>
  <si>
    <t>1540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</si>
  <si>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</si>
  <si>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</si>
  <si>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</si>
  <si>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</si>
  <si>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</si>
  <si>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</si>
  <si>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</si>
  <si>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</si>
  <si>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</si>
  <si>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</si>
  <si>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</si>
  <si>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</si>
  <si>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84</t>
  </si>
  <si>
    <t>252</t>
  </si>
  <si>
    <t>246</t>
  </si>
  <si>
    <t>3018</t>
  </si>
  <si>
    <t>37</t>
  </si>
  <si>
    <t>38</t>
  </si>
  <si>
    <t>39</t>
  </si>
  <si>
    <t>40</t>
  </si>
  <si>
    <t>41</t>
  </si>
  <si>
    <t>42</t>
  </si>
  <si>
    <t>201</t>
  </si>
  <si>
    <t>50</t>
  </si>
  <si>
    <t>59</t>
  </si>
  <si>
    <t>250</t>
  </si>
  <si>
    <t>295</t>
  </si>
  <si>
    <t>1545</t>
  </si>
  <si>
    <t>43</t>
  </si>
  <si>
    <t>44</t>
  </si>
  <si>
    <t>45</t>
  </si>
  <si>
    <t>46</t>
  </si>
  <si>
    <t>47</t>
  </si>
  <si>
    <t>48</t>
  </si>
  <si>
    <t>49</t>
  </si>
  <si>
    <t>53</t>
  </si>
  <si>
    <t>80</t>
  </si>
  <si>
    <t>62</t>
  </si>
  <si>
    <t>61</t>
  </si>
  <si>
    <t>240</t>
  </si>
  <si>
    <t>186</t>
  </si>
  <si>
    <t>183</t>
  </si>
  <si>
    <t>2529</t>
  </si>
  <si>
    <t xml:space="preserve"> </t>
  </si>
  <si>
    <t>מחיר יחידה (₪)</t>
  </si>
  <si>
    <t>מחיר כולל (₪)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</si>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</sst>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₪#,##0.00"/>
  </numFmts>
  <fonts count="7" x14ac:knownFonts="1">
    <font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22"/>
      <color theme="1"/>
      <name val="Arial"/>
      <family val="2"/>
      <charset val="162"/>
      <scheme val="minor"/>
    </font>
    <font>
      <sz val="18"/>
      <color theme="1"/>
      <name val="Arial"/>
      <family val="2"/>
      <charset val="162"/>
      <scheme val="minor"/>
    </font>
    <font>
      <b/>
      <sz val="18"/>
      <color theme="1"/>
      <name val="Arial"/>
      <family val="2"/>
      <charset val="162"/>
      <scheme val="minor"/>
    </font>
    <font>
      <sz val="11"/>
      <color theme="1"/>
      <name val="Aptos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₪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₪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AC3E6-2AC0-4170-A3C7-24547704E3F2}" name="tblArye" displayName="tblArye" ref="A1:F35" totalsRowShown="0" headerRowDxfId="7" dataDxfId="6">
  <autoFilter ref="A1:F35" xr:uid="{24CAC3E6-2AC0-4170-A3C7-24547704E3F2}"/>
  <tableColumns count="6">
    <tableColumn id="1" xr3:uid="{1D3EE056-4BAA-428A-B166-85C8352B9593}" name="CARTON" dataDxfId="5"/>
    <tableColumn id="2" xr3:uid="{0B313685-858A-4C79-98C7-79F990BE069E}" name="MODEL NO" dataDxfId="4"/>
    <tableColumn id="3" xr3:uid="{A6DAB958-5E5A-4C78-84C4-E30DB8BA2AA3}" name="SİZE" dataDxfId="3"/>
    <tableColumn id="4" xr3:uid="{6D4F9FD9-6D97-4EF9-86F1-B6918D3498A2}" name="BRAND" dataDxfId="2"/>
    <tableColumn id="5" xr3:uid="{861DC1A5-8E57-462A-A4EC-5A572E18353D}" name="PACKET" dataDxfId="1"/>
    <tableColumn id="6" xr3:uid="{90FB9DD5-68C4-4A28-8120-69685CA1EEF0}" name="PİEC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B85251-71EB-48CB-9EFA-19ADE38490BE}" name="tblBabyBasic" displayName="tblBabyBasic" ref="A1:H21" totalsRowShown="0" headerRowDxfId="17" dataDxfId="16">
  <autoFilter ref="A1:H21" xr:uid="{BFB85251-71EB-48CB-9EFA-19ADE38490BE}"/>
  <tableColumns count="8">
    <tableColumn id="1" xr3:uid="{33693B54-A811-43DB-92B2-D098A591C595}" name=" " dataDxfId="15"/>
    <tableColumn id="2" xr3:uid="{A4CC9BCE-4D17-4CA4-AAD3-EDFAEC698CB3}" name="MODEL NO" dataDxfId="14"/>
    <tableColumn id="3" xr3:uid="{2A4498E6-44FE-4D83-872C-5451279A0788}" name="SİZE" dataDxfId="13"/>
    <tableColumn id="4" xr3:uid="{6BDCA8BC-E87B-47C1-9F1C-3469FE611E35}" name="BRAND" dataDxfId="12"/>
    <tableColumn id="5" xr3:uid="{02547C87-253D-4850-B4B5-8F3F16C934DC}" name="PACKET" dataDxfId="11"/>
    <tableColumn id="6" xr3:uid="{01EC77A5-2930-45E9-B6A6-3B2C0A16260A}" name="PİECES" dataDxfId="10"/>
    <tableColumn id="7" xr3:uid="{419F0A48-B1C8-480F-BFFB-5E75E89DEDA9}" name="מחיר יחידה (₪)" dataDxfId="9">
      <calculatedColumnFormula>IF(B2=200,6.4,IF(B2=201,9.5,IF(B2=202,7.34,"")))</calculatedColumnFormula>
    </tableColumn>
    <tableColumn id="8" xr3:uid="{9D9994B1-869A-407F-A697-884F5EBFA0C2}" name="מחיר כולל (₪)" dataDxfId="8">
      <calculatedColumnFormula>G2*F2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7826-7EE6-4565-B38F-7E0A9C6C969F}">
  <sheetPr>
    <pageSetUpPr fitToPage="1"/>
  </sheetPr>
  <dimension ref="A1:K66"/>
  <sheetViews>
    <sheetView topLeftCell="A6" zoomScale="70" zoomScaleNormal="70" workbookViewId="0">
      <selection activeCell="J14" sqref="J14"/>
    </sheetView>
  </sheetViews>
  <sheetFormatPr defaultColWidth="8.8984375" defaultRowHeight="13.8" x14ac:dyDescent="0.25"/>
  <cols>
    <col min="1" max="1" width="19.8984375" style="4" customWidth="1"/>
    <col min="2" max="2" width="21.69921875" style="4" customWidth="1"/>
    <col min="3" max="3" width="13.296875" style="4" customWidth="1"/>
    <col min="4" max="4" width="19.69921875" style="4" customWidth="1"/>
    <col min="5" max="5" width="15.59765625" style="4" customWidth="1"/>
    <col min="6" max="6" width="16.69921875" style="4" customWidth="1"/>
    <col min="7" max="9" width="8.8984375" style="4"/>
    <col min="10" max="10" width="8.8984375" style="5"/>
    <col min="11" max="11" width="17.3984375" style="4" customWidth="1"/>
    <col min="12" max="16384" width="8.8984375" style="4"/>
  </cols>
  <sheetData>
    <row r="1" spans="1:11" ht="28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3"/>
      <c r="K1" s="2"/>
    </row>
    <row r="2" spans="1:11" ht="22.8" x14ac:dyDescent="0.25">
      <c r="A2" s="6">
        <v>1</v>
      </c>
      <c r="B2" s="6">
        <v>200</v>
      </c>
      <c r="C2" s="6" t="s">
        <v>6</v>
      </c>
      <c r="D2" s="6" t="s">
        <v>8</v>
      </c>
      <c r="E2" s="6" t="s">
        <v>9</v>
      </c>
      <c r="F2" s="6" t="s">
        <v>11</v>
      </c>
    </row>
    <row r="3" spans="1:11" ht="22.8" x14ac:dyDescent="0.25">
      <c r="A3" s="6">
        <v>2</v>
      </c>
      <c r="B3" s="6">
        <v>200</v>
      </c>
      <c r="C3" s="6" t="s">
        <v>6</v>
      </c>
      <c r="D3" s="6" t="s">
        <v>8</v>
      </c>
      <c r="E3" s="6" t="s">
        <v>9</v>
      </c>
      <c r="F3" s="6" t="s">
        <v>11</v>
      </c>
    </row>
    <row r="4" spans="1:11" ht="22.8" x14ac:dyDescent="0.25">
      <c r="A4" s="6">
        <v>3</v>
      </c>
      <c r="B4" s="6">
        <v>200</v>
      </c>
      <c r="C4" s="6" t="s">
        <v>6</v>
      </c>
      <c r="D4" s="6" t="s">
        <v>8</v>
      </c>
      <c r="E4" s="6" t="s">
        <v>9</v>
      </c>
      <c r="F4" s="6" t="s">
        <v>11</v>
      </c>
    </row>
    <row r="5" spans="1:11" ht="22.8" x14ac:dyDescent="0.25">
      <c r="A5" s="6">
        <v>4</v>
      </c>
      <c r="B5" s="6">
        <v>200</v>
      </c>
      <c r="C5" s="6" t="s">
        <v>6</v>
      </c>
      <c r="D5" s="6" t="s">
        <v>8</v>
      </c>
      <c r="E5" s="6" t="s">
        <v>9</v>
      </c>
      <c r="F5" s="6" t="s">
        <v>11</v>
      </c>
    </row>
    <row r="6" spans="1:11" ht="22.8" x14ac:dyDescent="0.25">
      <c r="A6" s="6">
        <v>5</v>
      </c>
      <c r="B6" s="6">
        <v>200</v>
      </c>
      <c r="C6" s="6" t="s">
        <v>6</v>
      </c>
      <c r="D6" s="6" t="s">
        <v>8</v>
      </c>
      <c r="E6" s="6" t="s">
        <v>9</v>
      </c>
      <c r="F6" s="6" t="s">
        <v>11</v>
      </c>
    </row>
    <row r="7" spans="1:11" ht="22.8" x14ac:dyDescent="0.25">
      <c r="A7" s="6">
        <v>6</v>
      </c>
      <c r="B7" s="6">
        <v>200</v>
      </c>
      <c r="C7" s="6" t="s">
        <v>7</v>
      </c>
      <c r="D7" s="6" t="s">
        <v>8</v>
      </c>
      <c r="E7" s="6" t="s">
        <v>10</v>
      </c>
      <c r="F7" s="6" t="s">
        <v>12</v>
      </c>
    </row>
    <row r="8" spans="1:11" ht="22.8" x14ac:dyDescent="0.25">
      <c r="A8" s="6">
        <v>7</v>
      </c>
      <c r="B8" s="6">
        <v>200</v>
      </c>
      <c r="C8" s="6" t="s">
        <v>7</v>
      </c>
      <c r="D8" s="6" t="s">
        <v>8</v>
      </c>
      <c r="E8" s="6" t="s">
        <v>10</v>
      </c>
      <c r="F8" s="6" t="s">
        <v>12</v>
      </c>
    </row>
    <row r="9" spans="1:11" ht="22.8" x14ac:dyDescent="0.25">
      <c r="A9" s="6"/>
      <c r="B9" s="6"/>
      <c r="C9" s="6"/>
      <c r="D9" s="6"/>
      <c r="E9" s="6"/>
      <c r="F9" s="7" t="s">
        <v>13</v>
      </c>
    </row>
    <row r="10" spans="1:11" x14ac:dyDescent="0.25">
      <c r="A10" s="8"/>
      <c r="B10" s="8"/>
      <c r="C10" s="8"/>
      <c r="D10" s="8"/>
      <c r="E10" s="8"/>
      <c r="F10" s="8"/>
    </row>
    <row r="11" spans="1:11" ht="22.8" x14ac:dyDescent="0.25">
      <c r="A11" s="6" t="s">
        <v>14</v>
      </c>
      <c r="B11" s="6" t="s">
        <v>25</v>
      </c>
      <c r="C11" s="6" t="s">
        <v>6</v>
      </c>
      <c r="D11" s="6" t="s">
        <v>29</v>
      </c>
      <c r="E11" s="6" t="s">
        <v>26</v>
      </c>
      <c r="F11" s="6" t="s">
        <v>30</v>
      </c>
    </row>
    <row r="12" spans="1:11" ht="22.8" x14ac:dyDescent="0.25">
      <c r="A12" s="6" t="s">
        <v>15</v>
      </c>
      <c r="B12" s="6" t="s">
        <v>25</v>
      </c>
      <c r="C12" s="6" t="s">
        <v>6</v>
      </c>
      <c r="D12" s="6" t="s">
        <v>29</v>
      </c>
      <c r="E12" s="6" t="s">
        <v>26</v>
      </c>
      <c r="F12" s="6" t="s">
        <v>30</v>
      </c>
    </row>
    <row r="13" spans="1:11" ht="22.8" x14ac:dyDescent="0.25">
      <c r="A13" s="6" t="s">
        <v>16</v>
      </c>
      <c r="B13" s="6" t="s">
        <v>25</v>
      </c>
      <c r="C13" s="6" t="s">
        <v>6</v>
      </c>
      <c r="D13" s="6" t="s">
        <v>29</v>
      </c>
      <c r="E13" s="6" t="s">
        <v>26</v>
      </c>
      <c r="F13" s="6" t="s">
        <v>30</v>
      </c>
    </row>
    <row r="14" spans="1:11" ht="22.8" x14ac:dyDescent="0.25">
      <c r="A14" s="6" t="s">
        <v>17</v>
      </c>
      <c r="B14" s="6" t="s">
        <v>25</v>
      </c>
      <c r="C14" s="6" t="s">
        <v>6</v>
      </c>
      <c r="D14" s="6" t="s">
        <v>29</v>
      </c>
      <c r="E14" s="6" t="s">
        <v>26</v>
      </c>
      <c r="F14" s="6" t="s">
        <v>30</v>
      </c>
    </row>
    <row r="15" spans="1:11" ht="22.8" x14ac:dyDescent="0.25">
      <c r="A15" s="6" t="s">
        <v>18</v>
      </c>
      <c r="B15" s="6" t="s">
        <v>25</v>
      </c>
      <c r="C15" s="6" t="s">
        <v>6</v>
      </c>
      <c r="D15" s="6" t="s">
        <v>29</v>
      </c>
      <c r="E15" s="6" t="s">
        <v>26</v>
      </c>
      <c r="F15" s="6" t="s">
        <v>30</v>
      </c>
    </row>
    <row r="16" spans="1:11" ht="22.8" x14ac:dyDescent="0.25">
      <c r="A16" s="6" t="s">
        <v>19</v>
      </c>
      <c r="B16" s="6" t="s">
        <v>25</v>
      </c>
      <c r="C16" s="6" t="s">
        <v>6</v>
      </c>
      <c r="D16" s="6" t="s">
        <v>29</v>
      </c>
      <c r="E16" s="6" t="s">
        <v>27</v>
      </c>
      <c r="F16" s="6" t="s">
        <v>31</v>
      </c>
    </row>
    <row r="17" spans="1:6" ht="22.8" x14ac:dyDescent="0.25">
      <c r="A17" s="6" t="s">
        <v>20</v>
      </c>
      <c r="B17" s="6" t="s">
        <v>25</v>
      </c>
      <c r="C17" s="6" t="s">
        <v>7</v>
      </c>
      <c r="D17" s="6" t="s">
        <v>29</v>
      </c>
      <c r="E17" s="6" t="s">
        <v>28</v>
      </c>
      <c r="F17" s="6" t="s">
        <v>32</v>
      </c>
    </row>
    <row r="18" spans="1:6" ht="22.8" x14ac:dyDescent="0.25">
      <c r="A18" s="6" t="s">
        <v>21</v>
      </c>
      <c r="B18" s="6" t="s">
        <v>25</v>
      </c>
      <c r="C18" s="6" t="s">
        <v>7</v>
      </c>
      <c r="D18" s="6" t="s">
        <v>29</v>
      </c>
      <c r="E18" s="6" t="s">
        <v>28</v>
      </c>
      <c r="F18" s="6" t="s">
        <v>32</v>
      </c>
    </row>
    <row r="19" spans="1:6" ht="22.8" x14ac:dyDescent="0.25">
      <c r="A19" s="6" t="s">
        <v>22</v>
      </c>
      <c r="B19" s="6" t="s">
        <v>25</v>
      </c>
      <c r="C19" s="6" t="s">
        <v>7</v>
      </c>
      <c r="D19" s="6" t="s">
        <v>29</v>
      </c>
      <c r="E19" s="6" t="s">
        <v>28</v>
      </c>
      <c r="F19" s="6" t="s">
        <v>32</v>
      </c>
    </row>
    <row r="20" spans="1:6" ht="22.8" x14ac:dyDescent="0.25">
      <c r="A20" s="6" t="s">
        <v>23</v>
      </c>
      <c r="B20" s="6" t="s">
        <v>25</v>
      </c>
      <c r="C20" s="6" t="s">
        <v>7</v>
      </c>
      <c r="D20" s="6" t="s">
        <v>29</v>
      </c>
      <c r="E20" s="6" t="s">
        <v>28</v>
      </c>
      <c r="F20" s="6" t="s">
        <v>32</v>
      </c>
    </row>
    <row r="21" spans="1:6" ht="22.8" x14ac:dyDescent="0.25">
      <c r="A21" s="6" t="s">
        <v>24</v>
      </c>
      <c r="B21" s="6" t="s">
        <v>25</v>
      </c>
      <c r="C21" s="6" t="s">
        <v>7</v>
      </c>
      <c r="D21" s="6" t="s">
        <v>29</v>
      </c>
      <c r="E21" s="6" t="s">
        <v>28</v>
      </c>
      <c r="F21" s="6" t="s">
        <v>32</v>
      </c>
    </row>
    <row r="22" spans="1:6" ht="22.8" x14ac:dyDescent="0.25">
      <c r="A22" s="6"/>
      <c r="B22" s="6"/>
      <c r="C22" s="6"/>
      <c r="D22" s="6"/>
      <c r="E22" s="6"/>
      <c r="F22" s="7" t="s">
        <v>33</v>
      </c>
    </row>
    <row r="23" spans="1:6" x14ac:dyDescent="0.25">
      <c r="A23" s="8"/>
      <c r="B23" s="8"/>
      <c r="C23" s="8"/>
      <c r="D23" s="8"/>
      <c r="E23" s="8"/>
      <c r="F23" s="8"/>
    </row>
    <row r="24" spans="1:6" ht="22.8" x14ac:dyDescent="0.25">
      <c r="A24" s="6" t="s">
        <v>34</v>
      </c>
      <c r="B24" s="6" t="s">
        <v>43</v>
      </c>
      <c r="C24" s="6" t="s">
        <v>40</v>
      </c>
      <c r="D24" s="6" t="s">
        <v>8</v>
      </c>
      <c r="E24" s="6" t="s">
        <v>10</v>
      </c>
      <c r="F24" s="6" t="s">
        <v>12</v>
      </c>
    </row>
    <row r="25" spans="1:6" ht="22.8" x14ac:dyDescent="0.25">
      <c r="A25" s="6" t="s">
        <v>35</v>
      </c>
      <c r="B25" s="6" t="s">
        <v>43</v>
      </c>
      <c r="C25" s="6" t="s">
        <v>40</v>
      </c>
      <c r="D25" s="6" t="s">
        <v>8</v>
      </c>
      <c r="E25" s="6" t="s">
        <v>44</v>
      </c>
      <c r="F25" s="6" t="s">
        <v>45</v>
      </c>
    </row>
    <row r="26" spans="1:6" ht="22.8" x14ac:dyDescent="0.25">
      <c r="A26" s="6" t="s">
        <v>36</v>
      </c>
      <c r="B26" s="6" t="s">
        <v>43</v>
      </c>
      <c r="C26" s="6" t="s">
        <v>41</v>
      </c>
      <c r="D26" s="6" t="s">
        <v>8</v>
      </c>
      <c r="E26" s="6" t="s">
        <v>10</v>
      </c>
      <c r="F26" s="6" t="s">
        <v>12</v>
      </c>
    </row>
    <row r="27" spans="1:6" ht="22.8" x14ac:dyDescent="0.25">
      <c r="A27" s="6" t="s">
        <v>37</v>
      </c>
      <c r="B27" s="6" t="s">
        <v>43</v>
      </c>
      <c r="C27" s="6" t="s">
        <v>41</v>
      </c>
      <c r="D27" s="6" t="s">
        <v>8</v>
      </c>
      <c r="E27" s="6" t="s">
        <v>44</v>
      </c>
      <c r="F27" s="6" t="s">
        <v>45</v>
      </c>
    </row>
    <row r="28" spans="1:6" ht="22.8" x14ac:dyDescent="0.25">
      <c r="A28" s="6" t="s">
        <v>38</v>
      </c>
      <c r="B28" s="6" t="s">
        <v>43</v>
      </c>
      <c r="C28" s="6" t="s">
        <v>42</v>
      </c>
      <c r="D28" s="6" t="s">
        <v>8</v>
      </c>
      <c r="E28" s="6" t="s">
        <v>10</v>
      </c>
      <c r="F28" s="6" t="s">
        <v>12</v>
      </c>
    </row>
    <row r="29" spans="1:6" ht="22.8" x14ac:dyDescent="0.25">
      <c r="A29" s="6" t="s">
        <v>39</v>
      </c>
      <c r="B29" s="6" t="s">
        <v>43</v>
      </c>
      <c r="C29" s="6" t="s">
        <v>42</v>
      </c>
      <c r="D29" s="6" t="s">
        <v>8</v>
      </c>
      <c r="E29" s="6" t="s">
        <v>10</v>
      </c>
      <c r="F29" s="6" t="s">
        <v>12</v>
      </c>
    </row>
    <row r="30" spans="1:6" ht="22.8" x14ac:dyDescent="0.25">
      <c r="A30" s="8"/>
      <c r="B30" s="8"/>
      <c r="C30" s="8"/>
      <c r="D30" s="8"/>
      <c r="E30" s="6"/>
      <c r="F30" s="7" t="s">
        <v>46</v>
      </c>
    </row>
    <row r="31" spans="1:6" x14ac:dyDescent="0.25">
      <c r="A31" s="8"/>
      <c r="B31" s="8"/>
      <c r="C31" s="8"/>
      <c r="D31" s="8"/>
      <c r="E31" s="8"/>
      <c r="F31" s="8"/>
    </row>
    <row r="32" spans="1:6" ht="22.8" x14ac:dyDescent="0.25">
      <c r="A32" s="6" t="s">
        <v>47</v>
      </c>
      <c r="B32" s="6" t="s">
        <v>43</v>
      </c>
      <c r="C32" s="6" t="s">
        <v>40</v>
      </c>
      <c r="D32" s="6" t="s">
        <v>29</v>
      </c>
      <c r="E32" s="6" t="s">
        <v>59</v>
      </c>
      <c r="F32" s="6" t="s">
        <v>60</v>
      </c>
    </row>
    <row r="33" spans="1:6" ht="22.8" x14ac:dyDescent="0.25">
      <c r="A33" s="6" t="s">
        <v>48</v>
      </c>
      <c r="B33" s="6" t="s">
        <v>43</v>
      </c>
      <c r="C33" s="6" t="s">
        <v>40</v>
      </c>
      <c r="D33" s="6" t="s">
        <v>29</v>
      </c>
      <c r="E33" s="6" t="s">
        <v>59</v>
      </c>
      <c r="F33" s="6" t="s">
        <v>60</v>
      </c>
    </row>
    <row r="34" spans="1:6" ht="22.8" x14ac:dyDescent="0.25">
      <c r="A34" s="6" t="s">
        <v>49</v>
      </c>
      <c r="B34" s="6" t="s">
        <v>43</v>
      </c>
      <c r="C34" s="6" t="s">
        <v>40</v>
      </c>
      <c r="D34" s="6" t="s">
        <v>29</v>
      </c>
      <c r="E34" s="6" t="s">
        <v>59</v>
      </c>
      <c r="F34" s="6" t="s">
        <v>60</v>
      </c>
    </row>
    <row r="35" spans="1:6" ht="22.8" x14ac:dyDescent="0.25">
      <c r="A35" s="6" t="s">
        <v>50</v>
      </c>
      <c r="B35" s="6" t="s">
        <v>43</v>
      </c>
      <c r="C35" s="6" t="s">
        <v>40</v>
      </c>
      <c r="D35" s="6" t="s">
        <v>29</v>
      </c>
      <c r="E35" s="6" t="s">
        <v>59</v>
      </c>
      <c r="F35" s="6" t="s">
        <v>60</v>
      </c>
    </row>
    <row r="36" spans="1:6" ht="22.8" x14ac:dyDescent="0.25">
      <c r="A36" s="6" t="s">
        <v>51</v>
      </c>
      <c r="B36" s="6" t="s">
        <v>43</v>
      </c>
      <c r="C36" s="6" t="s">
        <v>41</v>
      </c>
      <c r="D36" s="6" t="s">
        <v>29</v>
      </c>
      <c r="E36" s="6" t="s">
        <v>59</v>
      </c>
      <c r="F36" s="6" t="s">
        <v>60</v>
      </c>
    </row>
    <row r="37" spans="1:6" ht="22.8" x14ac:dyDescent="0.25">
      <c r="A37" s="6" t="s">
        <v>52</v>
      </c>
      <c r="B37" s="6" t="s">
        <v>43</v>
      </c>
      <c r="C37" s="6" t="s">
        <v>41</v>
      </c>
      <c r="D37" s="6" t="s">
        <v>29</v>
      </c>
      <c r="E37" s="6" t="s">
        <v>59</v>
      </c>
      <c r="F37" s="6" t="s">
        <v>60</v>
      </c>
    </row>
    <row r="38" spans="1:6" ht="22.8" x14ac:dyDescent="0.25">
      <c r="A38" s="6" t="s">
        <v>53</v>
      </c>
      <c r="B38" s="6" t="s">
        <v>43</v>
      </c>
      <c r="C38" s="6" t="s">
        <v>41</v>
      </c>
      <c r="D38" s="6" t="s">
        <v>29</v>
      </c>
      <c r="E38" s="6" t="s">
        <v>59</v>
      </c>
      <c r="F38" s="6" t="s">
        <v>60</v>
      </c>
    </row>
    <row r="39" spans="1:6" ht="22.8" x14ac:dyDescent="0.25">
      <c r="A39" s="6" t="s">
        <v>54</v>
      </c>
      <c r="B39" s="6" t="s">
        <v>43</v>
      </c>
      <c r="C39" s="6" t="s">
        <v>41</v>
      </c>
      <c r="D39" s="6" t="s">
        <v>29</v>
      </c>
      <c r="E39" s="6" t="s">
        <v>9</v>
      </c>
      <c r="F39" s="6" t="s">
        <v>61</v>
      </c>
    </row>
    <row r="40" spans="1:6" ht="22.8" x14ac:dyDescent="0.25">
      <c r="A40" s="6" t="s">
        <v>55</v>
      </c>
      <c r="B40" s="6" t="s">
        <v>43</v>
      </c>
      <c r="C40" s="6" t="s">
        <v>42</v>
      </c>
      <c r="D40" s="6" t="s">
        <v>29</v>
      </c>
      <c r="E40" s="6" t="s">
        <v>59</v>
      </c>
      <c r="F40" s="6" t="s">
        <v>60</v>
      </c>
    </row>
    <row r="41" spans="1:6" ht="22.8" x14ac:dyDescent="0.25">
      <c r="A41" s="6" t="s">
        <v>56</v>
      </c>
      <c r="B41" s="6" t="s">
        <v>43</v>
      </c>
      <c r="C41" s="6" t="s">
        <v>42</v>
      </c>
      <c r="D41" s="6" t="s">
        <v>29</v>
      </c>
      <c r="E41" s="6" t="s">
        <v>59</v>
      </c>
      <c r="F41" s="6" t="s">
        <v>60</v>
      </c>
    </row>
    <row r="42" spans="1:6" ht="22.8" x14ac:dyDescent="0.25">
      <c r="A42" s="6" t="s">
        <v>57</v>
      </c>
      <c r="B42" s="6" t="s">
        <v>43</v>
      </c>
      <c r="C42" s="6" t="s">
        <v>42</v>
      </c>
      <c r="D42" s="6" t="s">
        <v>29</v>
      </c>
      <c r="E42" s="6" t="s">
        <v>59</v>
      </c>
      <c r="F42" s="6" t="s">
        <v>60</v>
      </c>
    </row>
    <row r="43" spans="1:6" ht="22.8" x14ac:dyDescent="0.25">
      <c r="A43" s="6" t="s">
        <v>58</v>
      </c>
      <c r="B43" s="6" t="s">
        <v>43</v>
      </c>
      <c r="C43" s="6" t="s">
        <v>42</v>
      </c>
      <c r="D43" s="6" t="s">
        <v>29</v>
      </c>
      <c r="E43" s="6" t="s">
        <v>59</v>
      </c>
      <c r="F43" s="6" t="s">
        <v>60</v>
      </c>
    </row>
    <row r="44" spans="1:6" ht="22.8" x14ac:dyDescent="0.25">
      <c r="A44" s="8"/>
      <c r="B44" s="8"/>
      <c r="C44" s="8"/>
      <c r="D44" s="8"/>
      <c r="E44" s="6"/>
      <c r="F44" s="7" t="s">
        <v>62</v>
      </c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8"/>
      <c r="B46" s="8"/>
      <c r="C46" s="8"/>
      <c r="D46" s="8"/>
      <c r="E46" s="8"/>
      <c r="F46" s="8"/>
    </row>
    <row r="47" spans="1:6" ht="22.8" x14ac:dyDescent="0.25">
      <c r="A47" s="6" t="s">
        <v>63</v>
      </c>
      <c r="B47" s="6" t="s">
        <v>69</v>
      </c>
      <c r="C47" s="6" t="s">
        <v>6</v>
      </c>
      <c r="D47" s="6" t="s">
        <v>8</v>
      </c>
      <c r="E47" s="6" t="s">
        <v>70</v>
      </c>
      <c r="F47" s="6" t="s">
        <v>72</v>
      </c>
    </row>
    <row r="48" spans="1:6" ht="22.8" x14ac:dyDescent="0.25">
      <c r="A48" s="6" t="s">
        <v>64</v>
      </c>
      <c r="B48" s="6" t="s">
        <v>69</v>
      </c>
      <c r="C48" s="6" t="s">
        <v>6</v>
      </c>
      <c r="D48" s="6" t="s">
        <v>8</v>
      </c>
      <c r="E48" s="6" t="s">
        <v>70</v>
      </c>
      <c r="F48" s="6" t="s">
        <v>72</v>
      </c>
    </row>
    <row r="49" spans="1:6" ht="22.8" x14ac:dyDescent="0.25">
      <c r="A49" s="6" t="s">
        <v>65</v>
      </c>
      <c r="B49" s="6" t="s">
        <v>69</v>
      </c>
      <c r="C49" s="6" t="s">
        <v>6</v>
      </c>
      <c r="D49" s="6" t="s">
        <v>8</v>
      </c>
      <c r="E49" s="6" t="s">
        <v>70</v>
      </c>
      <c r="F49" s="6" t="s">
        <v>72</v>
      </c>
    </row>
    <row r="50" spans="1:6" ht="22.8" x14ac:dyDescent="0.25">
      <c r="A50" s="6" t="s">
        <v>66</v>
      </c>
      <c r="B50" s="6" t="s">
        <v>69</v>
      </c>
      <c r="C50" s="6" t="s">
        <v>6</v>
      </c>
      <c r="D50" s="6" t="s">
        <v>8</v>
      </c>
      <c r="E50" s="6" t="s">
        <v>70</v>
      </c>
      <c r="F50" s="6" t="s">
        <v>72</v>
      </c>
    </row>
    <row r="51" spans="1:6" ht="22.8" x14ac:dyDescent="0.25">
      <c r="A51" s="6" t="s">
        <v>67</v>
      </c>
      <c r="B51" s="6" t="s">
        <v>69</v>
      </c>
      <c r="C51" s="6" t="s">
        <v>6</v>
      </c>
      <c r="D51" s="6" t="s">
        <v>8</v>
      </c>
      <c r="E51" s="6" t="s">
        <v>70</v>
      </c>
      <c r="F51" s="6" t="s">
        <v>72</v>
      </c>
    </row>
    <row r="52" spans="1:6" ht="22.8" x14ac:dyDescent="0.25">
      <c r="A52" s="6" t="s">
        <v>68</v>
      </c>
      <c r="B52" s="6" t="s">
        <v>69</v>
      </c>
      <c r="C52" s="6" t="s">
        <v>6</v>
      </c>
      <c r="D52" s="6" t="s">
        <v>8</v>
      </c>
      <c r="E52" s="6" t="s">
        <v>71</v>
      </c>
      <c r="F52" s="6" t="s">
        <v>73</v>
      </c>
    </row>
    <row r="53" spans="1:6" ht="22.8" x14ac:dyDescent="0.25">
      <c r="A53" s="8"/>
      <c r="B53" s="8"/>
      <c r="C53" s="8"/>
      <c r="D53" s="8"/>
      <c r="E53" s="8"/>
      <c r="F53" s="7" t="s">
        <v>74</v>
      </c>
    </row>
    <row r="54" spans="1:6" x14ac:dyDescent="0.25">
      <c r="A54" s="8"/>
      <c r="B54" s="8"/>
      <c r="C54" s="8"/>
      <c r="D54" s="8"/>
      <c r="E54" s="8"/>
      <c r="F54" s="8"/>
    </row>
    <row r="55" spans="1:6" ht="22.8" x14ac:dyDescent="0.25">
      <c r="A55" s="6" t="s">
        <v>75</v>
      </c>
      <c r="B55" s="6" t="s">
        <v>69</v>
      </c>
      <c r="C55" s="6" t="s">
        <v>6</v>
      </c>
      <c r="D55" s="6" t="s">
        <v>29</v>
      </c>
      <c r="E55" s="6" t="s">
        <v>83</v>
      </c>
      <c r="F55" s="6" t="s">
        <v>86</v>
      </c>
    </row>
    <row r="56" spans="1:6" ht="22.8" x14ac:dyDescent="0.25">
      <c r="A56" s="6" t="s">
        <v>76</v>
      </c>
      <c r="B56" s="6" t="s">
        <v>69</v>
      </c>
      <c r="C56" s="6" t="s">
        <v>6</v>
      </c>
      <c r="D56" s="6" t="s">
        <v>29</v>
      </c>
      <c r="E56" s="6" t="s">
        <v>83</v>
      </c>
      <c r="F56" s="6" t="s">
        <v>86</v>
      </c>
    </row>
    <row r="57" spans="1:6" ht="22.8" x14ac:dyDescent="0.25">
      <c r="A57" s="6" t="s">
        <v>77</v>
      </c>
      <c r="B57" s="6" t="s">
        <v>69</v>
      </c>
      <c r="C57" s="6" t="s">
        <v>6</v>
      </c>
      <c r="D57" s="6" t="s">
        <v>29</v>
      </c>
      <c r="E57" s="6" t="s">
        <v>83</v>
      </c>
      <c r="F57" s="6" t="s">
        <v>86</v>
      </c>
    </row>
    <row r="58" spans="1:6" ht="22.8" x14ac:dyDescent="0.25">
      <c r="A58" s="6" t="s">
        <v>78</v>
      </c>
      <c r="B58" s="6" t="s">
        <v>69</v>
      </c>
      <c r="C58" s="6" t="s">
        <v>6</v>
      </c>
      <c r="D58" s="6" t="s">
        <v>29</v>
      </c>
      <c r="E58" s="6" t="s">
        <v>83</v>
      </c>
      <c r="F58" s="6" t="s">
        <v>86</v>
      </c>
    </row>
    <row r="59" spans="1:6" ht="22.8" x14ac:dyDescent="0.25">
      <c r="A59" s="6" t="s">
        <v>79</v>
      </c>
      <c r="B59" s="6" t="s">
        <v>69</v>
      </c>
      <c r="C59" s="6" t="s">
        <v>6</v>
      </c>
      <c r="D59" s="6" t="s">
        <v>29</v>
      </c>
      <c r="E59" s="6" t="s">
        <v>83</v>
      </c>
      <c r="F59" s="6" t="s">
        <v>86</v>
      </c>
    </row>
    <row r="60" spans="1:6" ht="22.8" x14ac:dyDescent="0.25">
      <c r="A60" s="6" t="s">
        <v>80</v>
      </c>
      <c r="B60" s="6" t="s">
        <v>69</v>
      </c>
      <c r="C60" s="6" t="s">
        <v>6</v>
      </c>
      <c r="D60" s="6" t="s">
        <v>29</v>
      </c>
      <c r="E60" s="6" t="s">
        <v>83</v>
      </c>
      <c r="F60" s="6" t="s">
        <v>86</v>
      </c>
    </row>
    <row r="61" spans="1:6" ht="22.8" x14ac:dyDescent="0.25">
      <c r="A61" s="6" t="s">
        <v>81</v>
      </c>
      <c r="B61" s="6" t="s">
        <v>69</v>
      </c>
      <c r="C61" s="6" t="s">
        <v>6</v>
      </c>
      <c r="D61" s="6" t="s">
        <v>29</v>
      </c>
      <c r="E61" s="6" t="s">
        <v>83</v>
      </c>
      <c r="F61" s="6" t="s">
        <v>86</v>
      </c>
    </row>
    <row r="62" spans="1:6" ht="22.8" x14ac:dyDescent="0.25">
      <c r="A62" s="6" t="s">
        <v>70</v>
      </c>
      <c r="B62" s="6" t="s">
        <v>69</v>
      </c>
      <c r="C62" s="6" t="s">
        <v>6</v>
      </c>
      <c r="D62" s="6" t="s">
        <v>29</v>
      </c>
      <c r="E62" s="6" t="s">
        <v>83</v>
      </c>
      <c r="F62" s="6" t="s">
        <v>86</v>
      </c>
    </row>
    <row r="63" spans="1:6" ht="22.8" x14ac:dyDescent="0.25">
      <c r="A63" s="6" t="s">
        <v>10</v>
      </c>
      <c r="B63" s="6" t="s">
        <v>69</v>
      </c>
      <c r="C63" s="6" t="s">
        <v>6</v>
      </c>
      <c r="D63" s="6" t="s">
        <v>29</v>
      </c>
      <c r="E63" s="6" t="s">
        <v>83</v>
      </c>
      <c r="F63" s="6" t="s">
        <v>86</v>
      </c>
    </row>
    <row r="64" spans="1:6" ht="22.8" x14ac:dyDescent="0.25">
      <c r="A64" s="6" t="s">
        <v>44</v>
      </c>
      <c r="B64" s="6" t="s">
        <v>69</v>
      </c>
      <c r="C64" s="6" t="s">
        <v>6</v>
      </c>
      <c r="D64" s="6" t="s">
        <v>29</v>
      </c>
      <c r="E64" s="6" t="s">
        <v>84</v>
      </c>
      <c r="F64" s="6" t="s">
        <v>87</v>
      </c>
    </row>
    <row r="65" spans="1:6" ht="22.8" x14ac:dyDescent="0.25">
      <c r="A65" s="6" t="s">
        <v>82</v>
      </c>
      <c r="B65" s="6" t="s">
        <v>69</v>
      </c>
      <c r="C65" s="6" t="s">
        <v>6</v>
      </c>
      <c r="D65" s="6" t="s">
        <v>29</v>
      </c>
      <c r="E65" s="6" t="s">
        <v>85</v>
      </c>
      <c r="F65" s="6" t="s">
        <v>88</v>
      </c>
    </row>
    <row r="66" spans="1:6" ht="22.8" x14ac:dyDescent="0.25">
      <c r="A66" s="6"/>
      <c r="B66" s="6"/>
      <c r="C66" s="6"/>
      <c r="D66" s="6"/>
      <c r="E66" s="6"/>
      <c r="F66" s="7" t="s">
        <v>89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1" orientation="portrait" horizontalDpi="4294967292" r:id="rId1"/>
  <ignoredErrors>
    <ignoredError sqref="E2 E3:E8 F2:F9 E11:F21 F22 A11:B21 E24:F30 A32:D43 E32:F44 A47:F52 F53 A55:F66" numberStoredAsText="1"/>
    <ignoredError sqref="C24:C29" twoDigitTextYear="1"/>
    <ignoredError sqref="A24:B29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DF0A-C529-47A4-B073-B0BC15B9D5A9}">
  <sheetPr>
    <tabColor rgb="FF1F4E78"/>
  </sheetPr>
  <dimension ref="A1:F35"/>
  <sheetViews>
    <sheetView rightToLeft="1" workbookViewId="0">
      <pane ySplit="1" topLeftCell="A2" activePane="bottomLeft" state="frozen"/>
      <selection pane="bottomLeft" sqref="A1:F1048576"/>
    </sheetView>
  </sheetViews>
  <sheetFormatPr defaultRowHeight="13.8" x14ac:dyDescent="0.25"/>
  <cols>
    <col min="1" max="2" width="13" style="13" customWidth="1"/>
    <col min="3" max="3" width="12" style="14" customWidth="1"/>
    <col min="4" max="4" width="17.5" style="13" customWidth="1"/>
    <col min="5" max="6" width="13" style="13" customWidth="1"/>
  </cols>
  <sheetData>
    <row r="1" spans="1:6" ht="24" customHeight="1" x14ac:dyDescent="0.3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</row>
    <row r="2" spans="1:6" ht="14.4" x14ac:dyDescent="0.3">
      <c r="A2" s="11">
        <v>8</v>
      </c>
      <c r="B2" s="11">
        <v>200</v>
      </c>
      <c r="C2" s="10" t="s">
        <v>6</v>
      </c>
      <c r="D2" s="9" t="s">
        <v>29</v>
      </c>
      <c r="E2" s="12">
        <v>115</v>
      </c>
      <c r="F2" s="12">
        <v>345</v>
      </c>
    </row>
    <row r="3" spans="1:6" ht="14.4" x14ac:dyDescent="0.3">
      <c r="A3" s="11">
        <v>9</v>
      </c>
      <c r="B3" s="11">
        <v>200</v>
      </c>
      <c r="C3" s="10" t="s">
        <v>6</v>
      </c>
      <c r="D3" s="9" t="s">
        <v>29</v>
      </c>
      <c r="E3" s="12">
        <v>115</v>
      </c>
      <c r="F3" s="12">
        <v>345</v>
      </c>
    </row>
    <row r="4" spans="1:6" ht="14.4" x14ac:dyDescent="0.3">
      <c r="A4" s="11">
        <v>10</v>
      </c>
      <c r="B4" s="11">
        <v>200</v>
      </c>
      <c r="C4" s="10" t="s">
        <v>6</v>
      </c>
      <c r="D4" s="9" t="s">
        <v>29</v>
      </c>
      <c r="E4" s="12">
        <v>115</v>
      </c>
      <c r="F4" s="12">
        <v>345</v>
      </c>
    </row>
    <row r="5" spans="1:6" ht="14.4" x14ac:dyDescent="0.3">
      <c r="A5" s="11">
        <v>11</v>
      </c>
      <c r="B5" s="11">
        <v>200</v>
      </c>
      <c r="C5" s="10" t="s">
        <v>6</v>
      </c>
      <c r="D5" s="9" t="s">
        <v>29</v>
      </c>
      <c r="E5" s="12">
        <v>115</v>
      </c>
      <c r="F5" s="12">
        <v>345</v>
      </c>
    </row>
    <row r="6" spans="1:6" ht="14.4" x14ac:dyDescent="0.3">
      <c r="A6" s="11">
        <v>12</v>
      </c>
      <c r="B6" s="11">
        <v>200</v>
      </c>
      <c r="C6" s="10" t="s">
        <v>6</v>
      </c>
      <c r="D6" s="9" t="s">
        <v>29</v>
      </c>
      <c r="E6" s="12">
        <v>115</v>
      </c>
      <c r="F6" s="12">
        <v>345</v>
      </c>
    </row>
    <row r="7" spans="1:6" ht="14.4" x14ac:dyDescent="0.3">
      <c r="A7" s="11">
        <v>13</v>
      </c>
      <c r="B7" s="11">
        <v>200</v>
      </c>
      <c r="C7" s="10" t="s">
        <v>6</v>
      </c>
      <c r="D7" s="9" t="s">
        <v>29</v>
      </c>
      <c r="E7" s="12">
        <v>106</v>
      </c>
      <c r="F7" s="12">
        <v>318</v>
      </c>
    </row>
    <row r="8" spans="1:6" ht="14.4" x14ac:dyDescent="0.3">
      <c r="A8" s="11">
        <v>14</v>
      </c>
      <c r="B8" s="11">
        <v>200</v>
      </c>
      <c r="C8" s="10" t="s">
        <v>7</v>
      </c>
      <c r="D8" s="9" t="s">
        <v>29</v>
      </c>
      <c r="E8" s="12">
        <v>101</v>
      </c>
      <c r="F8" s="12">
        <v>303</v>
      </c>
    </row>
    <row r="9" spans="1:6" ht="14.4" x14ac:dyDescent="0.3">
      <c r="A9" s="11">
        <v>15</v>
      </c>
      <c r="B9" s="11">
        <v>200</v>
      </c>
      <c r="C9" s="10" t="s">
        <v>7</v>
      </c>
      <c r="D9" s="9" t="s">
        <v>29</v>
      </c>
      <c r="E9" s="12">
        <v>101</v>
      </c>
      <c r="F9" s="12">
        <v>303</v>
      </c>
    </row>
    <row r="10" spans="1:6" ht="14.4" x14ac:dyDescent="0.3">
      <c r="A10" s="11">
        <v>16</v>
      </c>
      <c r="B10" s="11">
        <v>200</v>
      </c>
      <c r="C10" s="10" t="s">
        <v>7</v>
      </c>
      <c r="D10" s="9" t="s">
        <v>29</v>
      </c>
      <c r="E10" s="12">
        <v>101</v>
      </c>
      <c r="F10" s="12">
        <v>303</v>
      </c>
    </row>
    <row r="11" spans="1:6" ht="14.4" x14ac:dyDescent="0.3">
      <c r="A11" s="11">
        <v>17</v>
      </c>
      <c r="B11" s="11">
        <v>200</v>
      </c>
      <c r="C11" s="10" t="s">
        <v>7</v>
      </c>
      <c r="D11" s="9" t="s">
        <v>29</v>
      </c>
      <c r="E11" s="12">
        <v>101</v>
      </c>
      <c r="F11" s="12">
        <v>303</v>
      </c>
    </row>
    <row r="12" spans="1:6" ht="14.4" x14ac:dyDescent="0.3">
      <c r="A12" s="11">
        <v>18</v>
      </c>
      <c r="B12" s="11">
        <v>200</v>
      </c>
      <c r="C12" s="10" t="s">
        <v>7</v>
      </c>
      <c r="D12" s="9" t="s">
        <v>29</v>
      </c>
      <c r="E12" s="12">
        <v>101</v>
      </c>
      <c r="F12" s="12">
        <v>303</v>
      </c>
    </row>
    <row r="13" spans="1:6" ht="14.4" x14ac:dyDescent="0.3">
      <c r="A13" s="11">
        <v>25</v>
      </c>
      <c r="B13" s="11">
        <v>202</v>
      </c>
      <c r="C13" s="10" t="s">
        <v>40</v>
      </c>
      <c r="D13" s="9" t="s">
        <v>29</v>
      </c>
      <c r="E13" s="12">
        <v>84</v>
      </c>
      <c r="F13" s="12">
        <v>252</v>
      </c>
    </row>
    <row r="14" spans="1:6" ht="14.4" x14ac:dyDescent="0.3">
      <c r="A14" s="11">
        <v>26</v>
      </c>
      <c r="B14" s="11">
        <v>202</v>
      </c>
      <c r="C14" s="10" t="s">
        <v>40</v>
      </c>
      <c r="D14" s="9" t="s">
        <v>29</v>
      </c>
      <c r="E14" s="12">
        <v>84</v>
      </c>
      <c r="F14" s="12">
        <v>252</v>
      </c>
    </row>
    <row r="15" spans="1:6" ht="14.4" x14ac:dyDescent="0.3">
      <c r="A15" s="11">
        <v>27</v>
      </c>
      <c r="B15" s="11">
        <v>202</v>
      </c>
      <c r="C15" s="10" t="s">
        <v>40</v>
      </c>
      <c r="D15" s="9" t="s">
        <v>29</v>
      </c>
      <c r="E15" s="12">
        <v>84</v>
      </c>
      <c r="F15" s="12">
        <v>252</v>
      </c>
    </row>
    <row r="16" spans="1:6" ht="14.4" x14ac:dyDescent="0.3">
      <c r="A16" s="11">
        <v>28</v>
      </c>
      <c r="B16" s="11">
        <v>202</v>
      </c>
      <c r="C16" s="10" t="s">
        <v>40</v>
      </c>
      <c r="D16" s="9" t="s">
        <v>29</v>
      </c>
      <c r="E16" s="12">
        <v>84</v>
      </c>
      <c r="F16" s="12">
        <v>252</v>
      </c>
    </row>
    <row r="17" spans="1:6" ht="14.4" x14ac:dyDescent="0.3">
      <c r="A17" s="11">
        <v>29</v>
      </c>
      <c r="B17" s="11">
        <v>202</v>
      </c>
      <c r="C17" s="10" t="s">
        <v>41</v>
      </c>
      <c r="D17" s="9" t="s">
        <v>29</v>
      </c>
      <c r="E17" s="12">
        <v>84</v>
      </c>
      <c r="F17" s="12">
        <v>252</v>
      </c>
    </row>
    <row r="18" spans="1:6" ht="14.4" x14ac:dyDescent="0.3">
      <c r="A18" s="11">
        <v>30</v>
      </c>
      <c r="B18" s="11">
        <v>202</v>
      </c>
      <c r="C18" s="10" t="s">
        <v>41</v>
      </c>
      <c r="D18" s="9" t="s">
        <v>29</v>
      </c>
      <c r="E18" s="12">
        <v>84</v>
      </c>
      <c r="F18" s="12">
        <v>252</v>
      </c>
    </row>
    <row r="19" spans="1:6" ht="14.4" x14ac:dyDescent="0.3">
      <c r="A19" s="11">
        <v>31</v>
      </c>
      <c r="B19" s="11">
        <v>202</v>
      </c>
      <c r="C19" s="10" t="s">
        <v>41</v>
      </c>
      <c r="D19" s="9" t="s">
        <v>29</v>
      </c>
      <c r="E19" s="12">
        <v>84</v>
      </c>
      <c r="F19" s="12">
        <v>252</v>
      </c>
    </row>
    <row r="20" spans="1:6" ht="14.4" x14ac:dyDescent="0.3">
      <c r="A20" s="11">
        <v>32</v>
      </c>
      <c r="B20" s="11">
        <v>202</v>
      </c>
      <c r="C20" s="10" t="s">
        <v>41</v>
      </c>
      <c r="D20" s="9" t="s">
        <v>29</v>
      </c>
      <c r="E20" s="12">
        <v>82</v>
      </c>
      <c r="F20" s="12">
        <v>246</v>
      </c>
    </row>
    <row r="21" spans="1:6" ht="14.4" x14ac:dyDescent="0.3">
      <c r="A21" s="11">
        <v>33</v>
      </c>
      <c r="B21" s="11">
        <v>202</v>
      </c>
      <c r="C21" s="10" t="s">
        <v>42</v>
      </c>
      <c r="D21" s="9" t="s">
        <v>29</v>
      </c>
      <c r="E21" s="12">
        <v>84</v>
      </c>
      <c r="F21" s="12">
        <v>252</v>
      </c>
    </row>
    <row r="22" spans="1:6" ht="14.4" x14ac:dyDescent="0.3">
      <c r="A22" s="11">
        <v>34</v>
      </c>
      <c r="B22" s="11">
        <v>202</v>
      </c>
      <c r="C22" s="10" t="s">
        <v>42</v>
      </c>
      <c r="D22" s="9" t="s">
        <v>29</v>
      </c>
      <c r="E22" s="12">
        <v>84</v>
      </c>
      <c r="F22" s="12">
        <v>252</v>
      </c>
    </row>
    <row r="23" spans="1:6" ht="14.4" x14ac:dyDescent="0.3">
      <c r="A23" s="11">
        <v>35</v>
      </c>
      <c r="B23" s="11">
        <v>202</v>
      </c>
      <c r="C23" s="10" t="s">
        <v>42</v>
      </c>
      <c r="D23" s="9" t="s">
        <v>29</v>
      </c>
      <c r="E23" s="12">
        <v>84</v>
      </c>
      <c r="F23" s="12">
        <v>252</v>
      </c>
    </row>
    <row r="24" spans="1:6" ht="14.4" x14ac:dyDescent="0.3">
      <c r="A24" s="11">
        <v>36</v>
      </c>
      <c r="B24" s="11">
        <v>202</v>
      </c>
      <c r="C24" s="10" t="s">
        <v>42</v>
      </c>
      <c r="D24" s="9" t="s">
        <v>29</v>
      </c>
      <c r="E24" s="12">
        <v>84</v>
      </c>
      <c r="F24" s="12">
        <v>252</v>
      </c>
    </row>
    <row r="25" spans="1:6" ht="14.4" x14ac:dyDescent="0.3">
      <c r="A25" s="11">
        <v>43</v>
      </c>
      <c r="B25" s="11">
        <v>201</v>
      </c>
      <c r="C25" s="10" t="s">
        <v>6</v>
      </c>
      <c r="D25" s="9" t="s">
        <v>29</v>
      </c>
      <c r="E25" s="12">
        <v>80</v>
      </c>
      <c r="F25" s="12">
        <v>240</v>
      </c>
    </row>
    <row r="26" spans="1:6" ht="14.4" x14ac:dyDescent="0.3">
      <c r="A26" s="11">
        <v>44</v>
      </c>
      <c r="B26" s="11">
        <v>201</v>
      </c>
      <c r="C26" s="10" t="s">
        <v>6</v>
      </c>
      <c r="D26" s="9" t="s">
        <v>29</v>
      </c>
      <c r="E26" s="12">
        <v>80</v>
      </c>
      <c r="F26" s="12">
        <v>240</v>
      </c>
    </row>
    <row r="27" spans="1:6" ht="14.4" x14ac:dyDescent="0.3">
      <c r="A27" s="11">
        <v>45</v>
      </c>
      <c r="B27" s="11">
        <v>201</v>
      </c>
      <c r="C27" s="10" t="s">
        <v>6</v>
      </c>
      <c r="D27" s="9" t="s">
        <v>29</v>
      </c>
      <c r="E27" s="12">
        <v>80</v>
      </c>
      <c r="F27" s="12">
        <v>240</v>
      </c>
    </row>
    <row r="28" spans="1:6" ht="14.4" x14ac:dyDescent="0.3">
      <c r="A28" s="11">
        <v>46</v>
      </c>
      <c r="B28" s="11">
        <v>201</v>
      </c>
      <c r="C28" s="10" t="s">
        <v>6</v>
      </c>
      <c r="D28" s="9" t="s">
        <v>29</v>
      </c>
      <c r="E28" s="12">
        <v>80</v>
      </c>
      <c r="F28" s="12">
        <v>240</v>
      </c>
    </row>
    <row r="29" spans="1:6" ht="14.4" x14ac:dyDescent="0.3">
      <c r="A29" s="11">
        <v>47</v>
      </c>
      <c r="B29" s="11">
        <v>201</v>
      </c>
      <c r="C29" s="10" t="s">
        <v>6</v>
      </c>
      <c r="D29" s="9" t="s">
        <v>29</v>
      </c>
      <c r="E29" s="12">
        <v>80</v>
      </c>
      <c r="F29" s="12">
        <v>240</v>
      </c>
    </row>
    <row r="30" spans="1:6" ht="14.4" x14ac:dyDescent="0.3">
      <c r="A30" s="11">
        <v>48</v>
      </c>
      <c r="B30" s="11">
        <v>201</v>
      </c>
      <c r="C30" s="10" t="s">
        <v>6</v>
      </c>
      <c r="D30" s="9" t="s">
        <v>29</v>
      </c>
      <c r="E30" s="12">
        <v>80</v>
      </c>
      <c r="F30" s="12">
        <v>240</v>
      </c>
    </row>
    <row r="31" spans="1:6" ht="14.4" x14ac:dyDescent="0.3">
      <c r="A31" s="11">
        <v>49</v>
      </c>
      <c r="B31" s="11">
        <v>201</v>
      </c>
      <c r="C31" s="10" t="s">
        <v>6</v>
      </c>
      <c r="D31" s="9" t="s">
        <v>29</v>
      </c>
      <c r="E31" s="12">
        <v>80</v>
      </c>
      <c r="F31" s="12">
        <v>240</v>
      </c>
    </row>
    <row r="32" spans="1:6" ht="14.4" x14ac:dyDescent="0.3">
      <c r="A32" s="11">
        <v>50</v>
      </c>
      <c r="B32" s="11">
        <v>201</v>
      </c>
      <c r="C32" s="10" t="s">
        <v>6</v>
      </c>
      <c r="D32" s="9" t="s">
        <v>29</v>
      </c>
      <c r="E32" s="12">
        <v>80</v>
      </c>
      <c r="F32" s="12">
        <v>240</v>
      </c>
    </row>
    <row r="33" spans="1:6" ht="14.4" x14ac:dyDescent="0.3">
      <c r="A33" s="11">
        <v>51</v>
      </c>
      <c r="B33" s="11">
        <v>201</v>
      </c>
      <c r="C33" s="10" t="s">
        <v>6</v>
      </c>
      <c r="D33" s="9" t="s">
        <v>29</v>
      </c>
      <c r="E33" s="12">
        <v>80</v>
      </c>
      <c r="F33" s="12">
        <v>240</v>
      </c>
    </row>
    <row r="34" spans="1:6" ht="14.4" x14ac:dyDescent="0.3">
      <c r="A34" s="11">
        <v>52</v>
      </c>
      <c r="B34" s="11">
        <v>201</v>
      </c>
      <c r="C34" s="10" t="s">
        <v>6</v>
      </c>
      <c r="D34" s="9" t="s">
        <v>29</v>
      </c>
      <c r="E34" s="12">
        <v>62</v>
      </c>
      <c r="F34" s="12">
        <v>186</v>
      </c>
    </row>
    <row r="35" spans="1:6" ht="14.4" x14ac:dyDescent="0.3">
      <c r="A35" s="11">
        <v>53</v>
      </c>
      <c r="B35" s="11">
        <v>201</v>
      </c>
      <c r="C35" s="10" t="s">
        <v>6</v>
      </c>
      <c r="D35" s="9" t="s">
        <v>29</v>
      </c>
      <c r="E35" s="12">
        <v>61</v>
      </c>
      <c r="F35" s="12">
        <v>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2E7F-3ED3-43A9-BA98-56FCB3226622}">
  <sheetPr>
    <tabColor rgb="FF70AD47"/>
  </sheetPr>
  <dimension ref="A1:H21"/>
  <sheetViews>
    <sheetView rightToLeft="1" tabSelected="1" workbookViewId="0">
      <pane ySplit="1" topLeftCell="A2" activePane="bottomLeft" state="frozen"/>
      <selection pane="bottomLeft" activeCell="H21" sqref="H21"/>
    </sheetView>
  </sheetViews>
  <sheetFormatPr defaultRowHeight="13.8" x14ac:dyDescent="0.25"/>
  <cols>
    <col min="1" max="2" width="13" style="19" customWidth="1"/>
    <col min="3" max="3" width="12" style="20" customWidth="1"/>
    <col min="4" max="4" width="17.5" style="19" customWidth="1"/>
    <col min="5" max="6" width="13" style="19" customWidth="1"/>
    <col min="7" max="8" width="17.5" customWidth="1"/>
  </cols>
  <sheetData>
    <row r="1" spans="1:8" ht="30" customHeight="1" x14ac:dyDescent="0.25">
      <c r="A1" s="15" t="s">
        <v>90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22" t="s">
        <v>91</v>
      </c>
      <c r="H1" s="22" t="s">
        <v>92</v>
      </c>
    </row>
    <row r="2" spans="1:8" ht="14.4" x14ac:dyDescent="0.25">
      <c r="A2" s="17">
        <v>1</v>
      </c>
      <c r="B2" s="17">
        <v>200</v>
      </c>
      <c r="C2" s="16" t="s">
        <v>6</v>
      </c>
      <c r="D2" s="15" t="s">
        <v>8</v>
      </c>
      <c r="E2" s="18">
        <v>82</v>
      </c>
      <c r="F2" s="18">
        <v>410</v>
      </c>
      <c r="G2" s="21">
        <f t="shared" ref="G2:G20" si="0">IF(B2=200,6.4,IF(B2=201,9.5,IF(B2=202,7.34,"")))</f>
        <v>6.4</v>
      </c>
      <c r="H2" s="21">
        <f t="shared" ref="H2:H20" si="1">G2*F2</f>
        <v>2624</v>
      </c>
    </row>
    <row r="3" spans="1:8" ht="14.4" x14ac:dyDescent="0.25">
      <c r="A3" s="17">
        <v>2</v>
      </c>
      <c r="B3" s="17">
        <v>200</v>
      </c>
      <c r="C3" s="16" t="s">
        <v>6</v>
      </c>
      <c r="D3" s="15" t="s">
        <v>8</v>
      </c>
      <c r="E3" s="18">
        <v>82</v>
      </c>
      <c r="F3" s="18">
        <v>410</v>
      </c>
      <c r="G3" s="21">
        <f t="shared" si="0"/>
        <v>6.4</v>
      </c>
      <c r="H3" s="21">
        <f t="shared" si="1"/>
        <v>2624</v>
      </c>
    </row>
    <row r="4" spans="1:8" ht="14.4" x14ac:dyDescent="0.25">
      <c r="A4" s="17">
        <v>3</v>
      </c>
      <c r="B4" s="17">
        <v>200</v>
      </c>
      <c r="C4" s="16" t="s">
        <v>6</v>
      </c>
      <c r="D4" s="15" t="s">
        <v>8</v>
      </c>
      <c r="E4" s="18">
        <v>82</v>
      </c>
      <c r="F4" s="18">
        <v>410</v>
      </c>
      <c r="G4" s="21">
        <f t="shared" si="0"/>
        <v>6.4</v>
      </c>
      <c r="H4" s="21">
        <f t="shared" si="1"/>
        <v>2624</v>
      </c>
    </row>
    <row r="5" spans="1:8" ht="14.4" x14ac:dyDescent="0.25">
      <c r="A5" s="17">
        <v>4</v>
      </c>
      <c r="B5" s="17">
        <v>200</v>
      </c>
      <c r="C5" s="16" t="s">
        <v>6</v>
      </c>
      <c r="D5" s="15" t="s">
        <v>8</v>
      </c>
      <c r="E5" s="18">
        <v>82</v>
      </c>
      <c r="F5" s="18">
        <v>410</v>
      </c>
      <c r="G5" s="21">
        <f t="shared" si="0"/>
        <v>6.4</v>
      </c>
      <c r="H5" s="21">
        <f t="shared" si="1"/>
        <v>2624</v>
      </c>
    </row>
    <row r="6" spans="1:8" ht="14.4" x14ac:dyDescent="0.25">
      <c r="A6" s="17">
        <v>5</v>
      </c>
      <c r="B6" s="17">
        <v>200</v>
      </c>
      <c r="C6" s="16" t="s">
        <v>6</v>
      </c>
      <c r="D6" s="15" t="s">
        <v>8</v>
      </c>
      <c r="E6" s="18">
        <v>82</v>
      </c>
      <c r="F6" s="18">
        <v>410</v>
      </c>
      <c r="G6" s="21">
        <f t="shared" si="0"/>
        <v>6.4</v>
      </c>
      <c r="H6" s="21">
        <f t="shared" si="1"/>
        <v>2624</v>
      </c>
    </row>
    <row r="7" spans="1:8" ht="14.4" x14ac:dyDescent="0.25">
      <c r="A7" s="17">
        <v>6</v>
      </c>
      <c r="B7" s="17">
        <v>200</v>
      </c>
      <c r="C7" s="16" t="s">
        <v>7</v>
      </c>
      <c r="D7" s="15" t="s">
        <v>8</v>
      </c>
      <c r="E7" s="18">
        <v>51</v>
      </c>
      <c r="F7" s="18">
        <v>255</v>
      </c>
      <c r="G7" s="21">
        <f t="shared" si="0"/>
        <v>6.4</v>
      </c>
      <c r="H7" s="21">
        <f t="shared" si="1"/>
        <v>1632</v>
      </c>
    </row>
    <row r="8" spans="1:8" ht="14.4" x14ac:dyDescent="0.25">
      <c r="A8" s="17">
        <v>7</v>
      </c>
      <c r="B8" s="17">
        <v>200</v>
      </c>
      <c r="C8" s="16" t="s">
        <v>7</v>
      </c>
      <c r="D8" s="15" t="s">
        <v>8</v>
      </c>
      <c r="E8" s="18">
        <v>51</v>
      </c>
      <c r="F8" s="18">
        <v>255</v>
      </c>
      <c r="G8" s="21">
        <f t="shared" si="0"/>
        <v>6.4</v>
      </c>
      <c r="H8" s="21">
        <f t="shared" si="1"/>
        <v>1632</v>
      </c>
    </row>
    <row r="9" spans="1:8" ht="14.4" x14ac:dyDescent="0.25">
      <c r="A9" s="17">
        <v>19</v>
      </c>
      <c r="B9" s="17">
        <v>202</v>
      </c>
      <c r="C9" s="16" t="s">
        <v>40</v>
      </c>
      <c r="D9" s="15" t="s">
        <v>8</v>
      </c>
      <c r="E9" s="18">
        <v>51</v>
      </c>
      <c r="F9" s="18">
        <v>255</v>
      </c>
      <c r="G9" s="21">
        <f t="shared" si="0"/>
        <v>7.34</v>
      </c>
      <c r="H9" s="21">
        <f t="shared" si="1"/>
        <v>1871.7</v>
      </c>
    </row>
    <row r="10" spans="1:8" ht="14.4" x14ac:dyDescent="0.25">
      <c r="A10" s="17">
        <v>20</v>
      </c>
      <c r="B10" s="17">
        <v>202</v>
      </c>
      <c r="C10" s="16" t="s">
        <v>40</v>
      </c>
      <c r="D10" s="15" t="s">
        <v>8</v>
      </c>
      <c r="E10" s="18">
        <v>52</v>
      </c>
      <c r="F10" s="18">
        <v>260</v>
      </c>
      <c r="G10" s="21">
        <f t="shared" si="0"/>
        <v>7.34</v>
      </c>
      <c r="H10" s="21">
        <f t="shared" si="1"/>
        <v>1908.3999999999999</v>
      </c>
    </row>
    <row r="11" spans="1:8" ht="14.4" x14ac:dyDescent="0.25">
      <c r="A11" s="17">
        <v>21</v>
      </c>
      <c r="B11" s="17">
        <v>202</v>
      </c>
      <c r="C11" s="16" t="s">
        <v>41</v>
      </c>
      <c r="D11" s="15" t="s">
        <v>8</v>
      </c>
      <c r="E11" s="18">
        <v>51</v>
      </c>
      <c r="F11" s="18">
        <v>255</v>
      </c>
      <c r="G11" s="21">
        <f t="shared" si="0"/>
        <v>7.34</v>
      </c>
      <c r="H11" s="21">
        <f t="shared" si="1"/>
        <v>1871.7</v>
      </c>
    </row>
    <row r="12" spans="1:8" ht="14.4" x14ac:dyDescent="0.25">
      <c r="A12" s="17">
        <v>22</v>
      </c>
      <c r="B12" s="17">
        <v>202</v>
      </c>
      <c r="C12" s="16" t="s">
        <v>41</v>
      </c>
      <c r="D12" s="15" t="s">
        <v>8</v>
      </c>
      <c r="E12" s="18">
        <v>52</v>
      </c>
      <c r="F12" s="18">
        <v>260</v>
      </c>
      <c r="G12" s="21">
        <f t="shared" si="0"/>
        <v>7.34</v>
      </c>
      <c r="H12" s="21">
        <f t="shared" si="1"/>
        <v>1908.3999999999999</v>
      </c>
    </row>
    <row r="13" spans="1:8" ht="14.4" x14ac:dyDescent="0.25">
      <c r="A13" s="17">
        <v>23</v>
      </c>
      <c r="B13" s="17">
        <v>202</v>
      </c>
      <c r="C13" s="16" t="s">
        <v>42</v>
      </c>
      <c r="D13" s="15" t="s">
        <v>8</v>
      </c>
      <c r="E13" s="18">
        <v>51</v>
      </c>
      <c r="F13" s="18">
        <v>255</v>
      </c>
      <c r="G13" s="21">
        <f t="shared" si="0"/>
        <v>7.34</v>
      </c>
      <c r="H13" s="21">
        <f t="shared" si="1"/>
        <v>1871.7</v>
      </c>
    </row>
    <row r="14" spans="1:8" ht="14.4" x14ac:dyDescent="0.25">
      <c r="A14" s="17">
        <v>24</v>
      </c>
      <c r="B14" s="17">
        <v>202</v>
      </c>
      <c r="C14" s="16" t="s">
        <v>42</v>
      </c>
      <c r="D14" s="15" t="s">
        <v>8</v>
      </c>
      <c r="E14" s="18">
        <v>51</v>
      </c>
      <c r="F14" s="18">
        <v>255</v>
      </c>
      <c r="G14" s="21">
        <f t="shared" si="0"/>
        <v>7.34</v>
      </c>
      <c r="H14" s="21">
        <f t="shared" si="1"/>
        <v>1871.7</v>
      </c>
    </row>
    <row r="15" spans="1:8" ht="14.4" x14ac:dyDescent="0.25">
      <c r="A15" s="17">
        <v>37</v>
      </c>
      <c r="B15" s="17">
        <v>201</v>
      </c>
      <c r="C15" s="16" t="s">
        <v>6</v>
      </c>
      <c r="D15" s="15" t="s">
        <v>8</v>
      </c>
      <c r="E15" s="18">
        <v>50</v>
      </c>
      <c r="F15" s="18">
        <v>250</v>
      </c>
      <c r="G15" s="21">
        <f t="shared" si="0"/>
        <v>9.5</v>
      </c>
      <c r="H15" s="21">
        <f t="shared" si="1"/>
        <v>2375</v>
      </c>
    </row>
    <row r="16" spans="1:8" ht="14.4" x14ac:dyDescent="0.25">
      <c r="A16" s="17">
        <v>38</v>
      </c>
      <c r="B16" s="17">
        <v>201</v>
      </c>
      <c r="C16" s="16" t="s">
        <v>6</v>
      </c>
      <c r="D16" s="15" t="s">
        <v>8</v>
      </c>
      <c r="E16" s="18">
        <v>50</v>
      </c>
      <c r="F16" s="18">
        <v>250</v>
      </c>
      <c r="G16" s="21">
        <f t="shared" si="0"/>
        <v>9.5</v>
      </c>
      <c r="H16" s="21">
        <f t="shared" si="1"/>
        <v>2375</v>
      </c>
    </row>
    <row r="17" spans="1:8" ht="14.4" x14ac:dyDescent="0.25">
      <c r="A17" s="17">
        <v>39</v>
      </c>
      <c r="B17" s="17">
        <v>201</v>
      </c>
      <c r="C17" s="16" t="s">
        <v>6</v>
      </c>
      <c r="D17" s="15" t="s">
        <v>8</v>
      </c>
      <c r="E17" s="18">
        <v>50</v>
      </c>
      <c r="F17" s="18">
        <v>250</v>
      </c>
      <c r="G17" s="21">
        <f t="shared" si="0"/>
        <v>9.5</v>
      </c>
      <c r="H17" s="21">
        <f t="shared" si="1"/>
        <v>2375</v>
      </c>
    </row>
    <row r="18" spans="1:8" ht="14.4" x14ac:dyDescent="0.25">
      <c r="A18" s="17">
        <v>40</v>
      </c>
      <c r="B18" s="17">
        <v>201</v>
      </c>
      <c r="C18" s="16" t="s">
        <v>6</v>
      </c>
      <c r="D18" s="15" t="s">
        <v>8</v>
      </c>
      <c r="E18" s="18">
        <v>50</v>
      </c>
      <c r="F18" s="18">
        <v>250</v>
      </c>
      <c r="G18" s="21">
        <f t="shared" si="0"/>
        <v>9.5</v>
      </c>
      <c r="H18" s="21">
        <f t="shared" si="1"/>
        <v>2375</v>
      </c>
    </row>
    <row r="19" spans="1:8" ht="14.4" x14ac:dyDescent="0.25">
      <c r="A19" s="17">
        <v>41</v>
      </c>
      <c r="B19" s="17">
        <v>201</v>
      </c>
      <c r="C19" s="16" t="s">
        <v>6</v>
      </c>
      <c r="D19" s="15" t="s">
        <v>8</v>
      </c>
      <c r="E19" s="18">
        <v>50</v>
      </c>
      <c r="F19" s="18">
        <v>250</v>
      </c>
      <c r="G19" s="21">
        <f t="shared" si="0"/>
        <v>9.5</v>
      </c>
      <c r="H19" s="21">
        <f t="shared" si="1"/>
        <v>2375</v>
      </c>
    </row>
    <row r="20" spans="1:8" ht="14.4" x14ac:dyDescent="0.25">
      <c r="A20" s="17">
        <v>42</v>
      </c>
      <c r="B20" s="17">
        <v>201</v>
      </c>
      <c r="C20" s="16" t="s">
        <v>6</v>
      </c>
      <c r="D20" s="15" t="s">
        <v>8</v>
      </c>
      <c r="E20" s="18">
        <v>59</v>
      </c>
      <c r="F20" s="18">
        <v>295</v>
      </c>
      <c r="G20" s="21">
        <f t="shared" si="0"/>
        <v>9.5</v>
      </c>
      <c r="H20" s="21">
        <f t="shared" si="1"/>
        <v>2802.5</v>
      </c>
    </row>
    <row r="21" spans="1:8" ht="14.4" x14ac:dyDescent="0.25">
      <c r="A21" s="17"/>
      <c r="B21" s="17"/>
      <c r="C21" s="16"/>
      <c r="D21" s="15"/>
      <c r="E21" s="18"/>
      <c r="F21" s="18"/>
      <c r="G21" s="23" t="s">
        <v>93</v>
      </c>
      <c r="H21" s="23">
        <f>SUM(H2:H20)</f>
        <v>42365.100000000006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arye</vt:lpstr>
      <vt:lpstr>babybasic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çiğdem efe</dc:creator>
  <cp:lastModifiedBy>תמי לוי</cp:lastModifiedBy>
  <cp:lastPrinted>2024-08-27T13:12:10Z</cp:lastPrinted>
  <dcterms:created xsi:type="dcterms:W3CDTF">2022-07-01T11:47:51Z</dcterms:created>
  <dcterms:modified xsi:type="dcterms:W3CDTF">2026-09-07T12:00:52Z</dcterms:modified>
</cp:coreProperties>
</file>