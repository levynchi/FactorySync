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8_{4B8DCCC4-49C8-43B3-ACE7-58910962B476}" xr6:coauthVersionLast="47" xr6:coauthVersionMax="47" xr10:uidLastSave="{00000000-0000-0000-0000-000000000000}"/>
  <bookViews>
    <workbookView xWindow="-108" yWindow="-108" windowWidth="23256" windowHeight="12456" xr2:uid="{20E636AB-9604-4DB3-8332-14E60CC2F611}"/>
  </bookViews>
  <sheets>
    <sheet name="baby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 s="1"/>
  <c r="H4" i="1"/>
  <c r="I4" i="1"/>
  <c r="H5" i="1"/>
  <c r="I5" i="1"/>
  <c r="H6" i="1"/>
  <c r="I6" i="1"/>
  <c r="H7" i="1"/>
  <c r="I7" i="1"/>
  <c r="H8" i="1"/>
  <c r="I8" i="1" s="1"/>
  <c r="H9" i="1"/>
  <c r="I9" i="1" s="1"/>
  <c r="H10" i="1"/>
  <c r="I10" i="1" s="1"/>
  <c r="H11" i="1"/>
  <c r="I11" i="1"/>
  <c r="H12" i="1"/>
  <c r="I12" i="1"/>
  <c r="H13" i="1"/>
  <c r="I13" i="1"/>
  <c r="H14" i="1"/>
  <c r="I14" i="1" s="1"/>
  <c r="H15" i="1"/>
  <c r="I15" i="1" s="1"/>
  <c r="H16" i="1"/>
  <c r="I16" i="1"/>
  <c r="H17" i="1"/>
  <c r="I17" i="1" s="1"/>
  <c r="H18" i="1"/>
  <c r="I18" i="1"/>
  <c r="H19" i="1"/>
  <c r="I19" i="1"/>
  <c r="H20" i="1"/>
  <c r="I20" i="1" s="1"/>
  <c r="I21" i="1" l="1"/>
</calcChain>
</file>

<file path=xl/sharedStrings.xml><?xml version="1.0" encoding="utf-8"?>
<sst xmlns="http://schemas.openxmlformats.org/spreadsheetml/2006/main" count="67" uniqueCount="19">
  <si>
    <t>סה"כ</t>
  </si>
  <si>
    <t>BABY BASİC</t>
  </si>
  <si>
    <t>0-3</t>
  </si>
  <si>
    <t>24-30</t>
  </si>
  <si>
    <t>18-24</t>
  </si>
  <si>
    <t>12-18</t>
  </si>
  <si>
    <t>3-6</t>
  </si>
  <si>
    <t>מחיר כולל (₪)</t>
  </si>
  <si>
    <t>מחיר יחידה (₪)</t>
  </si>
  <si>
    <t>PİECES</t>
  </si>
  <si>
    <t>PACKET</t>
  </si>
  <si>
    <t>BRAND</t>
  </si>
  <si>
    <t>SİZE</t>
  </si>
  <si>
    <t>MODEL NO</t>
  </si>
  <si>
    <t xml:space="preserve"> </t>
  </si>
  <si>
    <t>תיאור דגם</t>
  </si>
  <si>
    <t>רגליות</t>
  </si>
  <si>
    <t>גטקס</t>
  </si>
  <si>
    <t>בגד גוף מעטפת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</si>
</sst>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.00"/>
  </numFmts>
  <fonts count="3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ptos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₪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\₪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0068F-6F23-4FA0-9568-DD19CA8BCC8A}" name="tblBabyBasic" displayName="tblBabyBasic" ref="A1:I21" totalsRowShown="0" headerRowDxfId="10" dataDxfId="9">
  <autoFilter ref="A1:I21" xr:uid="{BFB85251-71EB-48CB-9EFA-19ADE38490BE}"/>
  <tableColumns count="9">
    <tableColumn id="1" xr3:uid="{33693B54-A811-43DB-92B2-D098A591C595}" name=" " dataDxfId="8"/>
    <tableColumn id="2" xr3:uid="{A4CC9BCE-4D17-4CA4-AAD3-EDFAEC698CB3}" name="MODEL NO" dataDxfId="7"/>
    <tableColumn id="9" xr3:uid="{5E1DAB89-C8AD-4519-88EF-193319970A4E}" name="תיאור דגם" dataDxfId="0"/>
    <tableColumn id="3" xr3:uid="{2A4498E6-44FE-4D83-872C-5451279A0788}" name="SİZE" dataDxfId="6"/>
    <tableColumn id="4" xr3:uid="{6BDCA8BC-E87B-47C1-9F1C-3469FE611E35}" name="BRAND" dataDxfId="5"/>
    <tableColumn id="5" xr3:uid="{02547C87-253D-4850-B4B5-8F3F16C934DC}" name="PACKET" dataDxfId="4"/>
    <tableColumn id="6" xr3:uid="{01EC77A5-2930-45E9-B6A6-3B2C0A16260A}" name="PİECES" dataDxfId="3"/>
    <tableColumn id="7" xr3:uid="{419F0A48-B1C8-480F-BFFB-5E75E89DEDA9}" name="מחיר יחידה (₪)" dataDxfId="2">
      <calculatedColumnFormula>IF(B2=200,6.4,IF(B2=201,9.5,IF(B2=202,7.34,"")))</calculatedColumnFormula>
    </tableColumn>
    <tableColumn id="8" xr3:uid="{9D9994B1-869A-407F-A697-884F5EBFA0C2}" name="מחיר כולל (₪)" dataDxfId="1">
      <calculatedColumnFormula>H2*G2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2F5F-6900-479B-94E2-C9DD6473EE40}">
  <sheetPr>
    <tabColor rgb="FF70AD47"/>
  </sheetPr>
  <dimension ref="A1:I21"/>
  <sheetViews>
    <sheetView rightToLeft="1" tabSelected="1" workbookViewId="0">
      <pane ySplit="1" topLeftCell="A2" activePane="bottomLeft" state="frozen"/>
      <selection pane="bottomLeft" activeCell="B23" sqref="B23"/>
    </sheetView>
  </sheetViews>
  <sheetFormatPr defaultRowHeight="13.8" x14ac:dyDescent="0.25"/>
  <cols>
    <col min="1" max="2" width="13" style="1" customWidth="1"/>
    <col min="3" max="3" width="12.5" style="2" bestFit="1" customWidth="1"/>
    <col min="4" max="4" width="17.5" style="1" customWidth="1"/>
    <col min="5" max="6" width="13" style="1" customWidth="1"/>
    <col min="7" max="8" width="17.5" customWidth="1"/>
    <col min="9" max="9" width="15" customWidth="1"/>
  </cols>
  <sheetData>
    <row r="1" spans="1:9" ht="28.8" x14ac:dyDescent="0.25">
      <c r="A1" s="5" t="s">
        <v>14</v>
      </c>
      <c r="B1" s="5" t="s">
        <v>13</v>
      </c>
      <c r="C1" s="5" t="s">
        <v>15</v>
      </c>
      <c r="D1" s="6" t="s">
        <v>12</v>
      </c>
      <c r="E1" s="5" t="s">
        <v>11</v>
      </c>
      <c r="F1" s="5" t="s">
        <v>10</v>
      </c>
      <c r="G1" s="5" t="s">
        <v>9</v>
      </c>
      <c r="H1" s="9" t="s">
        <v>8</v>
      </c>
      <c r="I1" s="9" t="s">
        <v>7</v>
      </c>
    </row>
    <row r="2" spans="1:9" ht="14.4" x14ac:dyDescent="0.25">
      <c r="A2" s="7">
        <v>1</v>
      </c>
      <c r="B2" s="7">
        <v>200</v>
      </c>
      <c r="C2" s="10" t="s">
        <v>16</v>
      </c>
      <c r="D2" s="6" t="s">
        <v>2</v>
      </c>
      <c r="E2" s="5" t="s">
        <v>1</v>
      </c>
      <c r="F2" s="4">
        <v>82</v>
      </c>
      <c r="G2" s="4">
        <v>410</v>
      </c>
      <c r="H2" s="8">
        <f>IF(B2=200,6.4,IF(B2=201,9.5,IF(B2=202,7.34,"")))</f>
        <v>6.4</v>
      </c>
      <c r="I2" s="8">
        <f>H2*G2</f>
        <v>2624</v>
      </c>
    </row>
    <row r="3" spans="1:9" ht="14.4" x14ac:dyDescent="0.25">
      <c r="A3" s="7">
        <v>2</v>
      </c>
      <c r="B3" s="7">
        <v>200</v>
      </c>
      <c r="C3" s="10" t="s">
        <v>16</v>
      </c>
      <c r="D3" s="6" t="s">
        <v>2</v>
      </c>
      <c r="E3" s="5" t="s">
        <v>1</v>
      </c>
      <c r="F3" s="4">
        <v>82</v>
      </c>
      <c r="G3" s="4">
        <v>410</v>
      </c>
      <c r="H3" s="8">
        <f>IF(B3=200,6.4,IF(B3=201,9.5,IF(B3=202,7.34,"")))</f>
        <v>6.4</v>
      </c>
      <c r="I3" s="8">
        <f>H3*G3</f>
        <v>2624</v>
      </c>
    </row>
    <row r="4" spans="1:9" ht="14.4" x14ac:dyDescent="0.25">
      <c r="A4" s="7">
        <v>3</v>
      </c>
      <c r="B4" s="7">
        <v>200</v>
      </c>
      <c r="C4" s="10" t="s">
        <v>16</v>
      </c>
      <c r="D4" s="6" t="s">
        <v>2</v>
      </c>
      <c r="E4" s="5" t="s">
        <v>1</v>
      </c>
      <c r="F4" s="4">
        <v>82</v>
      </c>
      <c r="G4" s="4">
        <v>410</v>
      </c>
      <c r="H4" s="8">
        <f>IF(B4=200,6.4,IF(B4=201,9.5,IF(B4=202,7.34,"")))</f>
        <v>6.4</v>
      </c>
      <c r="I4" s="8">
        <f>H4*G4</f>
        <v>2624</v>
      </c>
    </row>
    <row r="5" spans="1:9" ht="14.4" x14ac:dyDescent="0.25">
      <c r="A5" s="7">
        <v>4</v>
      </c>
      <c r="B5" s="7">
        <v>200</v>
      </c>
      <c r="C5" s="10" t="s">
        <v>16</v>
      </c>
      <c r="D5" s="6" t="s">
        <v>2</v>
      </c>
      <c r="E5" s="5" t="s">
        <v>1</v>
      </c>
      <c r="F5" s="4">
        <v>82</v>
      </c>
      <c r="G5" s="4">
        <v>410</v>
      </c>
      <c r="H5" s="8">
        <f>IF(B5=200,6.4,IF(B5=201,9.5,IF(B5=202,7.34,"")))</f>
        <v>6.4</v>
      </c>
      <c r="I5" s="8">
        <f>H5*G5</f>
        <v>2624</v>
      </c>
    </row>
    <row r="6" spans="1:9" ht="14.4" x14ac:dyDescent="0.25">
      <c r="A6" s="7">
        <v>5</v>
      </c>
      <c r="B6" s="7">
        <v>200</v>
      </c>
      <c r="C6" s="10" t="s">
        <v>16</v>
      </c>
      <c r="D6" s="6" t="s">
        <v>2</v>
      </c>
      <c r="E6" s="5" t="s">
        <v>1</v>
      </c>
      <c r="F6" s="4">
        <v>82</v>
      </c>
      <c r="G6" s="4">
        <v>410</v>
      </c>
      <c r="H6" s="8">
        <f>IF(B6=200,6.4,IF(B6=201,9.5,IF(B6=202,7.34,"")))</f>
        <v>6.4</v>
      </c>
      <c r="I6" s="8">
        <f>H6*G6</f>
        <v>2624</v>
      </c>
    </row>
    <row r="7" spans="1:9" ht="14.4" x14ac:dyDescent="0.25">
      <c r="A7" s="7">
        <v>6</v>
      </c>
      <c r="B7" s="7">
        <v>200</v>
      </c>
      <c r="C7" s="10" t="s">
        <v>16</v>
      </c>
      <c r="D7" s="6" t="s">
        <v>6</v>
      </c>
      <c r="E7" s="5" t="s">
        <v>1</v>
      </c>
      <c r="F7" s="4">
        <v>51</v>
      </c>
      <c r="G7" s="4">
        <v>255</v>
      </c>
      <c r="H7" s="8">
        <f>IF(B7=200,6.4,IF(B7=201,9.5,IF(B7=202,7.34,"")))</f>
        <v>6.4</v>
      </c>
      <c r="I7" s="8">
        <f>H7*G7</f>
        <v>1632</v>
      </c>
    </row>
    <row r="8" spans="1:9" ht="14.4" x14ac:dyDescent="0.25">
      <c r="A8" s="7">
        <v>7</v>
      </c>
      <c r="B8" s="7">
        <v>200</v>
      </c>
      <c r="C8" s="10" t="s">
        <v>16</v>
      </c>
      <c r="D8" s="6" t="s">
        <v>6</v>
      </c>
      <c r="E8" s="5" t="s">
        <v>1</v>
      </c>
      <c r="F8" s="4">
        <v>51</v>
      </c>
      <c r="G8" s="4">
        <v>255</v>
      </c>
      <c r="H8" s="8">
        <f>IF(B8=200,6.4,IF(B8=201,9.5,IF(B8=202,7.34,"")))</f>
        <v>6.4</v>
      </c>
      <c r="I8" s="8">
        <f>H8*G8</f>
        <v>1632</v>
      </c>
    </row>
    <row r="9" spans="1:9" ht="14.4" x14ac:dyDescent="0.25">
      <c r="A9" s="7">
        <v>19</v>
      </c>
      <c r="B9" s="7">
        <v>202</v>
      </c>
      <c r="C9" s="10" t="s">
        <v>17</v>
      </c>
      <c r="D9" s="6" t="s">
        <v>5</v>
      </c>
      <c r="E9" s="5" t="s">
        <v>1</v>
      </c>
      <c r="F9" s="4">
        <v>51</v>
      </c>
      <c r="G9" s="4">
        <v>255</v>
      </c>
      <c r="H9" s="8">
        <f>IF(B9=200,6.4,IF(B9=201,9.5,IF(B9=202,7.34,"")))</f>
        <v>7.34</v>
      </c>
      <c r="I9" s="8">
        <f>H9*G9</f>
        <v>1871.7</v>
      </c>
    </row>
    <row r="10" spans="1:9" ht="14.4" x14ac:dyDescent="0.25">
      <c r="A10" s="7">
        <v>20</v>
      </c>
      <c r="B10" s="7">
        <v>202</v>
      </c>
      <c r="C10" s="10" t="s">
        <v>17</v>
      </c>
      <c r="D10" s="6" t="s">
        <v>5</v>
      </c>
      <c r="E10" s="5" t="s">
        <v>1</v>
      </c>
      <c r="F10" s="4">
        <v>52</v>
      </c>
      <c r="G10" s="4">
        <v>260</v>
      </c>
      <c r="H10" s="8">
        <f>IF(B10=200,6.4,IF(B10=201,9.5,IF(B10=202,7.34,"")))</f>
        <v>7.34</v>
      </c>
      <c r="I10" s="8">
        <f>H10*G10</f>
        <v>1908.3999999999999</v>
      </c>
    </row>
    <row r="11" spans="1:9" ht="14.4" x14ac:dyDescent="0.25">
      <c r="A11" s="7">
        <v>21</v>
      </c>
      <c r="B11" s="7">
        <v>202</v>
      </c>
      <c r="C11" s="10" t="s">
        <v>17</v>
      </c>
      <c r="D11" s="6" t="s">
        <v>4</v>
      </c>
      <c r="E11" s="5" t="s">
        <v>1</v>
      </c>
      <c r="F11" s="4">
        <v>51</v>
      </c>
      <c r="G11" s="4">
        <v>255</v>
      </c>
      <c r="H11" s="8">
        <f>IF(B11=200,6.4,IF(B11=201,9.5,IF(B11=202,7.34,"")))</f>
        <v>7.34</v>
      </c>
      <c r="I11" s="8">
        <f>H11*G11</f>
        <v>1871.7</v>
      </c>
    </row>
    <row r="12" spans="1:9" ht="14.4" x14ac:dyDescent="0.25">
      <c r="A12" s="7">
        <v>22</v>
      </c>
      <c r="B12" s="7">
        <v>202</v>
      </c>
      <c r="C12" s="10" t="s">
        <v>17</v>
      </c>
      <c r="D12" s="6" t="s">
        <v>4</v>
      </c>
      <c r="E12" s="5" t="s">
        <v>1</v>
      </c>
      <c r="F12" s="4">
        <v>52</v>
      </c>
      <c r="G12" s="4">
        <v>260</v>
      </c>
      <c r="H12" s="8">
        <f>IF(B12=200,6.4,IF(B12=201,9.5,IF(B12=202,7.34,"")))</f>
        <v>7.34</v>
      </c>
      <c r="I12" s="8">
        <f>H12*G12</f>
        <v>1908.3999999999999</v>
      </c>
    </row>
    <row r="13" spans="1:9" ht="14.4" x14ac:dyDescent="0.25">
      <c r="A13" s="7">
        <v>23</v>
      </c>
      <c r="B13" s="7">
        <v>202</v>
      </c>
      <c r="C13" s="10" t="s">
        <v>17</v>
      </c>
      <c r="D13" s="6" t="s">
        <v>3</v>
      </c>
      <c r="E13" s="5" t="s">
        <v>1</v>
      </c>
      <c r="F13" s="4">
        <v>51</v>
      </c>
      <c r="G13" s="4">
        <v>255</v>
      </c>
      <c r="H13" s="8">
        <f>IF(B13=200,6.4,IF(B13=201,9.5,IF(B13=202,7.34,"")))</f>
        <v>7.34</v>
      </c>
      <c r="I13" s="8">
        <f>H13*G13</f>
        <v>1871.7</v>
      </c>
    </row>
    <row r="14" spans="1:9" ht="14.4" x14ac:dyDescent="0.25">
      <c r="A14" s="7">
        <v>24</v>
      </c>
      <c r="B14" s="7">
        <v>202</v>
      </c>
      <c r="C14" s="10" t="s">
        <v>17</v>
      </c>
      <c r="D14" s="6" t="s">
        <v>3</v>
      </c>
      <c r="E14" s="5" t="s">
        <v>1</v>
      </c>
      <c r="F14" s="4">
        <v>51</v>
      </c>
      <c r="G14" s="4">
        <v>255</v>
      </c>
      <c r="H14" s="8">
        <f>IF(B14=200,6.4,IF(B14=201,9.5,IF(B14=202,7.34,"")))</f>
        <v>7.34</v>
      </c>
      <c r="I14" s="8">
        <f>H14*G14</f>
        <v>1871.7</v>
      </c>
    </row>
    <row r="15" spans="1:9" ht="14.4" x14ac:dyDescent="0.25">
      <c r="A15" s="7">
        <v>37</v>
      </c>
      <c r="B15" s="7">
        <v>201</v>
      </c>
      <c r="C15" s="10" t="s">
        <v>18</v>
      </c>
      <c r="D15" s="6" t="s">
        <v>2</v>
      </c>
      <c r="E15" s="5" t="s">
        <v>1</v>
      </c>
      <c r="F15" s="4">
        <v>50</v>
      </c>
      <c r="G15" s="4">
        <v>250</v>
      </c>
      <c r="H15" s="8">
        <f>IF(B15=200,6.4,IF(B15=201,9.5,IF(B15=202,7.34,"")))</f>
        <v>9.5</v>
      </c>
      <c r="I15" s="8">
        <f>H15*G15</f>
        <v>2375</v>
      </c>
    </row>
    <row r="16" spans="1:9" ht="14.4" x14ac:dyDescent="0.25">
      <c r="A16" s="7">
        <v>38</v>
      </c>
      <c r="B16" s="7">
        <v>201</v>
      </c>
      <c r="C16" s="10" t="s">
        <v>18</v>
      </c>
      <c r="D16" s="6" t="s">
        <v>2</v>
      </c>
      <c r="E16" s="5" t="s">
        <v>1</v>
      </c>
      <c r="F16" s="4">
        <v>50</v>
      </c>
      <c r="G16" s="4">
        <v>250</v>
      </c>
      <c r="H16" s="8">
        <f>IF(B16=200,6.4,IF(B16=201,9.5,IF(B16=202,7.34,"")))</f>
        <v>9.5</v>
      </c>
      <c r="I16" s="8">
        <f>H16*G16</f>
        <v>2375</v>
      </c>
    </row>
    <row r="17" spans="1:9" ht="14.4" x14ac:dyDescent="0.25">
      <c r="A17" s="7">
        <v>39</v>
      </c>
      <c r="B17" s="7">
        <v>201</v>
      </c>
      <c r="C17" s="10" t="s">
        <v>18</v>
      </c>
      <c r="D17" s="6" t="s">
        <v>2</v>
      </c>
      <c r="E17" s="5" t="s">
        <v>1</v>
      </c>
      <c r="F17" s="4">
        <v>50</v>
      </c>
      <c r="G17" s="4">
        <v>250</v>
      </c>
      <c r="H17" s="8">
        <f>IF(B17=200,6.4,IF(B17=201,9.5,IF(B17=202,7.34,"")))</f>
        <v>9.5</v>
      </c>
      <c r="I17" s="8">
        <f>H17*G17</f>
        <v>2375</v>
      </c>
    </row>
    <row r="18" spans="1:9" ht="14.4" x14ac:dyDescent="0.25">
      <c r="A18" s="7">
        <v>40</v>
      </c>
      <c r="B18" s="7">
        <v>201</v>
      </c>
      <c r="C18" s="10" t="s">
        <v>18</v>
      </c>
      <c r="D18" s="6" t="s">
        <v>2</v>
      </c>
      <c r="E18" s="5" t="s">
        <v>1</v>
      </c>
      <c r="F18" s="4">
        <v>50</v>
      </c>
      <c r="G18" s="4">
        <v>250</v>
      </c>
      <c r="H18" s="8">
        <f>IF(B18=200,6.4,IF(B18=201,9.5,IF(B18=202,7.34,"")))</f>
        <v>9.5</v>
      </c>
      <c r="I18" s="8">
        <f>H18*G18</f>
        <v>2375</v>
      </c>
    </row>
    <row r="19" spans="1:9" ht="14.4" x14ac:dyDescent="0.25">
      <c r="A19" s="7">
        <v>41</v>
      </c>
      <c r="B19" s="7">
        <v>201</v>
      </c>
      <c r="C19" s="10" t="s">
        <v>18</v>
      </c>
      <c r="D19" s="6" t="s">
        <v>2</v>
      </c>
      <c r="E19" s="5" t="s">
        <v>1</v>
      </c>
      <c r="F19" s="4">
        <v>50</v>
      </c>
      <c r="G19" s="4">
        <v>250</v>
      </c>
      <c r="H19" s="8">
        <f>IF(B19=200,6.4,IF(B19=201,9.5,IF(B19=202,7.34,"")))</f>
        <v>9.5</v>
      </c>
      <c r="I19" s="8">
        <f>H19*G19</f>
        <v>2375</v>
      </c>
    </row>
    <row r="20" spans="1:9" ht="14.4" x14ac:dyDescent="0.25">
      <c r="A20" s="7">
        <v>42</v>
      </c>
      <c r="B20" s="7">
        <v>201</v>
      </c>
      <c r="C20" s="10" t="s">
        <v>18</v>
      </c>
      <c r="D20" s="6" t="s">
        <v>2</v>
      </c>
      <c r="E20" s="5" t="s">
        <v>1</v>
      </c>
      <c r="F20" s="4">
        <v>59</v>
      </c>
      <c r="G20" s="4">
        <v>295</v>
      </c>
      <c r="H20" s="8">
        <f>IF(B20=200,6.4,IF(B20=201,9.5,IF(B20=202,7.34,"")))</f>
        <v>9.5</v>
      </c>
      <c r="I20" s="8">
        <f>H20*G20</f>
        <v>2802.5</v>
      </c>
    </row>
    <row r="21" spans="1:9" ht="14.4" x14ac:dyDescent="0.25">
      <c r="A21" s="7"/>
      <c r="B21" s="7"/>
      <c r="C21" s="10"/>
      <c r="D21" s="6"/>
      <c r="E21" s="5"/>
      <c r="F21" s="4"/>
      <c r="G21" s="4"/>
      <c r="H21" s="3" t="s">
        <v>0</v>
      </c>
      <c r="I21" s="3">
        <f>SUM(I2:I20)</f>
        <v>42365.100000000006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babybasic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לוי</dc:creator>
  <cp:lastModifiedBy>תמי לוי</cp:lastModifiedBy>
  <dcterms:created xsi:type="dcterms:W3CDTF">2026-09-07T12:02:53Z</dcterms:created>
  <dcterms:modified xsi:type="dcterms:W3CDTF">2026-09-07T12:13:53Z</dcterms:modified>
</cp:coreProperties>
</file>