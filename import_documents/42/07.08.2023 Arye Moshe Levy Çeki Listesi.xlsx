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lihan.altay\Desktop\FİRMALAR\BİLAL GÜRSOY\ARYE MOSHE LEVY(BARKOD KODU UNUTMA)\"/>
    </mc:Choice>
  </mc:AlternateContent>
  <bookViews>
    <workbookView xWindow="-120" yWindow="-120" windowWidth="29040" windowHeight="1584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Sayfa1!$A$1:$O$53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29" i="1"/>
  <c r="L29" i="1"/>
  <c r="M29" i="1"/>
  <c r="O26" i="1"/>
  <c r="O28" i="1"/>
  <c r="O2" i="1"/>
  <c r="O3" i="1"/>
  <c r="O4" i="1"/>
  <c r="O5" i="1"/>
  <c r="O6" i="1"/>
  <c r="O7" i="1"/>
  <c r="O8" i="1"/>
  <c r="O9" i="1"/>
  <c r="O10" i="1"/>
  <c r="O11" i="1"/>
  <c r="O12" i="1"/>
  <c r="O14" i="1"/>
  <c r="O15" i="1"/>
  <c r="O16" i="1"/>
  <c r="O17" i="1"/>
  <c r="O18" i="1"/>
  <c r="O19" i="1"/>
  <c r="O20" i="1"/>
  <c r="O21" i="1"/>
  <c r="O22" i="1"/>
  <c r="O23" i="1"/>
  <c r="O24" i="1"/>
  <c r="O29" i="1" l="1"/>
</calcChain>
</file>

<file path=xl/sharedStrings.xml><?xml version="1.0" encoding="utf-8"?>
<sst xmlns="http://schemas.openxmlformats.org/spreadsheetml/2006/main" count="183" uniqueCount="49">
  <si>
    <t>ORDER NO</t>
  </si>
  <si>
    <t>TYPE</t>
  </si>
  <si>
    <t>CUSTOMER</t>
  </si>
  <si>
    <t xml:space="preserve">COLOR NO </t>
  </si>
  <si>
    <t>COLOR</t>
  </si>
  <si>
    <t>WIDTH</t>
  </si>
  <si>
    <t>GR</t>
  </si>
  <si>
    <t>ROLLS</t>
  </si>
  <si>
    <t>NET KG</t>
  </si>
  <si>
    <t>GROSS KG</t>
  </si>
  <si>
    <t>METER</t>
  </si>
  <si>
    <t>PRICE</t>
  </si>
  <si>
    <t>TOTAL</t>
  </si>
  <si>
    <t>ARYE MOSHE LEVY</t>
  </si>
  <si>
    <t>CONTENT</t>
  </si>
  <si>
    <t xml:space="preserve">%100 COTTON </t>
  </si>
  <si>
    <t>DYED</t>
  </si>
  <si>
    <t>DYED/PRINTED</t>
  </si>
  <si>
    <t>127481</t>
  </si>
  <si>
    <t>MAVİ</t>
  </si>
  <si>
    <t>34947</t>
  </si>
  <si>
    <t>BEJ</t>
  </si>
  <si>
    <t>RIBANA WITH ELASTANE</t>
  </si>
  <si>
    <t>36/2 COMPACT SINGLE JERSEY</t>
  </si>
  <si>
    <t>%95 CORTTON %5 ELASTANE</t>
  </si>
  <si>
    <t>4397.31156.45481/1</t>
  </si>
  <si>
    <t>4397.31156.45481/2</t>
  </si>
  <si>
    <t>4397.31156.45481/3</t>
  </si>
  <si>
    <t>4397.31156.45481/4</t>
  </si>
  <si>
    <t>4397.31156.45481/5</t>
  </si>
  <si>
    <t>4397.31156.45481/6</t>
  </si>
  <si>
    <t>4397.31156.45481/7</t>
  </si>
  <si>
    <t>4397.31156.45481/8</t>
  </si>
  <si>
    <t>4397.31156.45481/9</t>
  </si>
  <si>
    <t>4397.31156.45481/10</t>
  </si>
  <si>
    <t>4397.31156.45481/11</t>
  </si>
  <si>
    <t>4397.31158.45483/1</t>
  </si>
  <si>
    <t>4397.31158.45483/2</t>
  </si>
  <si>
    <t>4397.31158.45483/3</t>
  </si>
  <si>
    <t>4397.31158.45483/4</t>
  </si>
  <si>
    <t>4397.31158.45483/5</t>
  </si>
  <si>
    <t>4397.31158.45483/6</t>
  </si>
  <si>
    <t>4397.31158.45483/7</t>
  </si>
  <si>
    <t>4397.31158.45483/8</t>
  </si>
  <si>
    <t>4397.31158.45483/9</t>
  </si>
  <si>
    <t>4397.31158.45483/10</t>
  </si>
  <si>
    <t>4397.31158.45483/11</t>
  </si>
  <si>
    <t>4397.31160.45482/1</t>
  </si>
  <si>
    <t>4397.31281.45644/1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</si>
</sst>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[$$-409]#,##0.0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 applyAlignment="1">
      <alignment horizontal="center" vertical="center"/>
    </xf>
    <xf numFmtId="4" fontId="0" fillId="0" borderId="0" xfId="0" applyNumberFormat="1"/>
    <xf numFmtId="0" fontId="0" fillId="0" borderId="0" xfId="0"/>
    <xf numFmtId="164" fontId="0" fillId="0" borderId="0" xfId="0" applyNumberFormat="1"/>
    <xf numFmtId="165" fontId="0" fillId="33" borderId="10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Border="1"/>
    <xf numFmtId="4" fontId="0" fillId="0" borderId="10" xfId="0" applyNumberFormat="1" applyBorder="1"/>
    <xf numFmtId="0" fontId="16" fillId="0" borderId="11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4" fontId="16" fillId="0" borderId="11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4" fontId="16" fillId="0" borderId="10" xfId="0" applyNumberFormat="1" applyFont="1" applyBorder="1"/>
    <xf numFmtId="4" fontId="16" fillId="0" borderId="0" xfId="0" applyNumberFormat="1" applyFont="1"/>
    <xf numFmtId="4" fontId="16" fillId="0" borderId="10" xfId="0" applyNumberFormat="1" applyFont="1" applyBorder="1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4" fontId="16" fillId="34" borderId="10" xfId="0" applyNumberFormat="1" applyFont="1" applyFill="1" applyBorder="1" applyAlignment="1">
      <alignment horizontal="center" vertical="center"/>
    </xf>
    <xf numFmtId="164" fontId="16" fillId="34" borderId="10" xfId="0" applyNumberFormat="1" applyFont="1" applyFill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D1" zoomScale="80" zoomScaleNormal="80" workbookViewId="0">
      <selection activeCell="D1" sqref="A1:XFD1048576"/>
    </sheetView>
  </sheetViews>
  <sheetFormatPr defaultRowHeight="15" x14ac:dyDescent="0.25"/>
  <cols>
    <col min="1" max="1" width="20" customWidth="1"/>
    <col min="2" max="2" width="37.7109375" bestFit="1" customWidth="1"/>
    <col min="3" max="3" width="37.7109375" style="3" customWidth="1"/>
    <col min="4" max="4" width="27.7109375" bestFit="1" customWidth="1"/>
    <col min="5" max="5" width="27.7109375" style="3" customWidth="1"/>
    <col min="6" max="6" width="10.42578125" bestFit="1" customWidth="1"/>
    <col min="7" max="7" width="10.42578125" style="3" customWidth="1"/>
    <col min="10" max="10" width="9.140625" style="3"/>
    <col min="11" max="11" width="9.140625" style="2"/>
    <col min="12" max="12" width="10" style="2" bestFit="1" customWidth="1"/>
    <col min="13" max="13" width="9.140625" style="2"/>
    <col min="14" max="14" width="11.42578125" style="17" bestFit="1" customWidth="1"/>
    <col min="15" max="15" width="10.7109375" style="4" bestFit="1" customWidth="1"/>
  </cols>
  <sheetData>
    <row r="1" spans="1:15" s="1" customFormat="1" x14ac:dyDescent="0.25">
      <c r="A1" s="9" t="s">
        <v>0</v>
      </c>
      <c r="B1" s="9" t="s">
        <v>1</v>
      </c>
      <c r="C1" s="9" t="s">
        <v>14</v>
      </c>
      <c r="D1" s="9" t="s">
        <v>2</v>
      </c>
      <c r="E1" s="10" t="s">
        <v>17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2" t="s">
        <v>12</v>
      </c>
    </row>
    <row r="2" spans="1:15" x14ac:dyDescent="0.25">
      <c r="A2" s="7" t="s">
        <v>25</v>
      </c>
      <c r="B2" s="7" t="s">
        <v>23</v>
      </c>
      <c r="C2" s="6" t="s">
        <v>13</v>
      </c>
      <c r="D2" s="6" t="s">
        <v>15</v>
      </c>
      <c r="E2" s="6" t="s">
        <v>16</v>
      </c>
      <c r="F2" s="13" t="s">
        <v>18</v>
      </c>
      <c r="G2" s="13" t="s">
        <v>19</v>
      </c>
      <c r="H2" s="13">
        <v>165</v>
      </c>
      <c r="I2" s="13">
        <v>235</v>
      </c>
      <c r="J2" s="13">
        <v>1</v>
      </c>
      <c r="K2" s="14">
        <v>28.55</v>
      </c>
      <c r="L2" s="14">
        <v>29.2</v>
      </c>
      <c r="M2" s="14">
        <v>71.89</v>
      </c>
      <c r="N2" s="18">
        <v>8</v>
      </c>
      <c r="O2" s="5">
        <f t="shared" ref="O2:O28" si="0">K2*N2</f>
        <v>228.4</v>
      </c>
    </row>
    <row r="3" spans="1:15" x14ac:dyDescent="0.25">
      <c r="A3" s="7" t="s">
        <v>26</v>
      </c>
      <c r="B3" s="7" t="s">
        <v>23</v>
      </c>
      <c r="C3" s="6" t="s">
        <v>13</v>
      </c>
      <c r="D3" s="6" t="s">
        <v>15</v>
      </c>
      <c r="E3" s="6" t="s">
        <v>16</v>
      </c>
      <c r="F3" s="13" t="s">
        <v>18</v>
      </c>
      <c r="G3" s="13" t="s">
        <v>19</v>
      </c>
      <c r="H3" s="13">
        <v>165</v>
      </c>
      <c r="I3" s="13">
        <v>235</v>
      </c>
      <c r="J3" s="13">
        <v>1</v>
      </c>
      <c r="K3" s="14">
        <v>20.2</v>
      </c>
      <c r="L3" s="14">
        <v>20.85</v>
      </c>
      <c r="M3" s="14">
        <v>50.86</v>
      </c>
      <c r="N3" s="18">
        <v>8</v>
      </c>
      <c r="O3" s="5">
        <f t="shared" si="0"/>
        <v>161.6</v>
      </c>
    </row>
    <row r="4" spans="1:15" x14ac:dyDescent="0.25">
      <c r="A4" s="7" t="s">
        <v>27</v>
      </c>
      <c r="B4" s="7" t="s">
        <v>23</v>
      </c>
      <c r="C4" s="6" t="s">
        <v>13</v>
      </c>
      <c r="D4" s="6" t="s">
        <v>15</v>
      </c>
      <c r="E4" s="6" t="s">
        <v>16</v>
      </c>
      <c r="F4" s="13" t="s">
        <v>18</v>
      </c>
      <c r="G4" s="13" t="s">
        <v>19</v>
      </c>
      <c r="H4" s="13">
        <v>165</v>
      </c>
      <c r="I4" s="13">
        <v>235</v>
      </c>
      <c r="J4" s="13">
        <v>1</v>
      </c>
      <c r="K4" s="14">
        <v>20</v>
      </c>
      <c r="L4" s="14">
        <v>20.65</v>
      </c>
      <c r="M4" s="14">
        <v>50.36</v>
      </c>
      <c r="N4" s="18">
        <v>8</v>
      </c>
      <c r="O4" s="5">
        <f t="shared" si="0"/>
        <v>160</v>
      </c>
    </row>
    <row r="5" spans="1:15" x14ac:dyDescent="0.25">
      <c r="A5" s="7" t="s">
        <v>28</v>
      </c>
      <c r="B5" s="7" t="s">
        <v>23</v>
      </c>
      <c r="C5" s="6" t="s">
        <v>13</v>
      </c>
      <c r="D5" s="6" t="s">
        <v>15</v>
      </c>
      <c r="E5" s="6" t="s">
        <v>16</v>
      </c>
      <c r="F5" s="13" t="s">
        <v>18</v>
      </c>
      <c r="G5" s="13" t="s">
        <v>19</v>
      </c>
      <c r="H5" s="13">
        <v>165</v>
      </c>
      <c r="I5" s="13">
        <v>235</v>
      </c>
      <c r="J5" s="13">
        <v>1</v>
      </c>
      <c r="K5" s="14">
        <v>20.149999999999999</v>
      </c>
      <c r="L5" s="14">
        <v>20.8</v>
      </c>
      <c r="M5" s="14">
        <v>50.74</v>
      </c>
      <c r="N5" s="18">
        <v>8</v>
      </c>
      <c r="O5" s="5">
        <f t="shared" si="0"/>
        <v>161.19999999999999</v>
      </c>
    </row>
    <row r="6" spans="1:15" x14ac:dyDescent="0.25">
      <c r="A6" s="7" t="s">
        <v>29</v>
      </c>
      <c r="B6" s="7" t="s">
        <v>23</v>
      </c>
      <c r="C6" s="6" t="s">
        <v>13</v>
      </c>
      <c r="D6" s="6" t="s">
        <v>15</v>
      </c>
      <c r="E6" s="6" t="s">
        <v>16</v>
      </c>
      <c r="F6" s="13" t="s">
        <v>18</v>
      </c>
      <c r="G6" s="13" t="s">
        <v>19</v>
      </c>
      <c r="H6" s="13">
        <v>165</v>
      </c>
      <c r="I6" s="13">
        <v>235</v>
      </c>
      <c r="J6" s="13">
        <v>1</v>
      </c>
      <c r="K6" s="14">
        <v>19</v>
      </c>
      <c r="L6" s="14">
        <v>19.649999999999999</v>
      </c>
      <c r="M6" s="14">
        <v>47.84</v>
      </c>
      <c r="N6" s="18">
        <v>8</v>
      </c>
      <c r="O6" s="5">
        <f t="shared" si="0"/>
        <v>152</v>
      </c>
    </row>
    <row r="7" spans="1:15" x14ac:dyDescent="0.25">
      <c r="A7" s="7" t="s">
        <v>30</v>
      </c>
      <c r="B7" s="7" t="s">
        <v>23</v>
      </c>
      <c r="C7" s="6" t="s">
        <v>13</v>
      </c>
      <c r="D7" s="6" t="s">
        <v>15</v>
      </c>
      <c r="E7" s="6" t="s">
        <v>16</v>
      </c>
      <c r="F7" s="13" t="s">
        <v>18</v>
      </c>
      <c r="G7" s="13" t="s">
        <v>19</v>
      </c>
      <c r="H7" s="13">
        <v>165</v>
      </c>
      <c r="I7" s="13">
        <v>235</v>
      </c>
      <c r="J7" s="13">
        <v>1</v>
      </c>
      <c r="K7" s="14">
        <v>15.25</v>
      </c>
      <c r="L7" s="14">
        <v>15.9</v>
      </c>
      <c r="M7" s="14">
        <v>38.4</v>
      </c>
      <c r="N7" s="18">
        <v>8</v>
      </c>
      <c r="O7" s="5">
        <f t="shared" si="0"/>
        <v>122</v>
      </c>
    </row>
    <row r="8" spans="1:15" x14ac:dyDescent="0.25">
      <c r="A8" s="7" t="s">
        <v>31</v>
      </c>
      <c r="B8" s="7" t="s">
        <v>23</v>
      </c>
      <c r="C8" s="6" t="s">
        <v>13</v>
      </c>
      <c r="D8" s="6" t="s">
        <v>15</v>
      </c>
      <c r="E8" s="6" t="s">
        <v>16</v>
      </c>
      <c r="F8" s="13" t="s">
        <v>18</v>
      </c>
      <c r="G8" s="13" t="s">
        <v>19</v>
      </c>
      <c r="H8" s="13">
        <v>165</v>
      </c>
      <c r="I8" s="13">
        <v>235</v>
      </c>
      <c r="J8" s="13">
        <v>1</v>
      </c>
      <c r="K8" s="14">
        <v>19.75</v>
      </c>
      <c r="L8" s="14">
        <v>20.399999999999999</v>
      </c>
      <c r="M8" s="14">
        <v>49.73</v>
      </c>
      <c r="N8" s="18">
        <v>8</v>
      </c>
      <c r="O8" s="5">
        <f t="shared" si="0"/>
        <v>158</v>
      </c>
    </row>
    <row r="9" spans="1:15" x14ac:dyDescent="0.25">
      <c r="A9" s="7" t="s">
        <v>32</v>
      </c>
      <c r="B9" s="7" t="s">
        <v>23</v>
      </c>
      <c r="C9" s="6" t="s">
        <v>13</v>
      </c>
      <c r="D9" s="6" t="s">
        <v>15</v>
      </c>
      <c r="E9" s="6" t="s">
        <v>16</v>
      </c>
      <c r="F9" s="13" t="s">
        <v>18</v>
      </c>
      <c r="G9" s="13" t="s">
        <v>19</v>
      </c>
      <c r="H9" s="13">
        <v>165</v>
      </c>
      <c r="I9" s="13">
        <v>235</v>
      </c>
      <c r="J9" s="13">
        <v>1</v>
      </c>
      <c r="K9" s="14">
        <v>20.45</v>
      </c>
      <c r="L9" s="14">
        <v>21.1</v>
      </c>
      <c r="M9" s="14">
        <v>51.49</v>
      </c>
      <c r="N9" s="18">
        <v>8</v>
      </c>
      <c r="O9" s="5">
        <f t="shared" si="0"/>
        <v>163.6</v>
      </c>
    </row>
    <row r="10" spans="1:15" x14ac:dyDescent="0.25">
      <c r="A10" s="7" t="s">
        <v>33</v>
      </c>
      <c r="B10" s="7" t="s">
        <v>23</v>
      </c>
      <c r="C10" s="6" t="s">
        <v>13</v>
      </c>
      <c r="D10" s="6" t="s">
        <v>15</v>
      </c>
      <c r="E10" s="6" t="s">
        <v>16</v>
      </c>
      <c r="F10" s="13" t="s">
        <v>18</v>
      </c>
      <c r="G10" s="13" t="s">
        <v>19</v>
      </c>
      <c r="H10" s="13">
        <v>165</v>
      </c>
      <c r="I10" s="13">
        <v>235</v>
      </c>
      <c r="J10" s="13">
        <v>1</v>
      </c>
      <c r="K10" s="14">
        <v>19.5</v>
      </c>
      <c r="L10" s="14">
        <v>20.149999999999999</v>
      </c>
      <c r="M10" s="14">
        <v>49.1</v>
      </c>
      <c r="N10" s="18">
        <v>8</v>
      </c>
      <c r="O10" s="5">
        <f t="shared" si="0"/>
        <v>156</v>
      </c>
    </row>
    <row r="11" spans="1:15" x14ac:dyDescent="0.25">
      <c r="A11" s="7" t="s">
        <v>34</v>
      </c>
      <c r="B11" s="7" t="s">
        <v>23</v>
      </c>
      <c r="C11" s="6" t="s">
        <v>13</v>
      </c>
      <c r="D11" s="6" t="s">
        <v>15</v>
      </c>
      <c r="E11" s="6" t="s">
        <v>16</v>
      </c>
      <c r="F11" s="13" t="s">
        <v>18</v>
      </c>
      <c r="G11" s="13" t="s">
        <v>19</v>
      </c>
      <c r="H11" s="13">
        <v>165</v>
      </c>
      <c r="I11" s="13">
        <v>235</v>
      </c>
      <c r="J11" s="13">
        <v>1</v>
      </c>
      <c r="K11" s="14">
        <v>18.149999999999999</v>
      </c>
      <c r="L11" s="14">
        <v>18.8</v>
      </c>
      <c r="M11" s="14">
        <v>45.7</v>
      </c>
      <c r="N11" s="18">
        <v>8</v>
      </c>
      <c r="O11" s="5">
        <f t="shared" si="0"/>
        <v>145.19999999999999</v>
      </c>
    </row>
    <row r="12" spans="1:15" x14ac:dyDescent="0.25">
      <c r="A12" s="7" t="s">
        <v>35</v>
      </c>
      <c r="B12" s="7" t="s">
        <v>23</v>
      </c>
      <c r="C12" s="6" t="s">
        <v>13</v>
      </c>
      <c r="D12" s="6" t="s">
        <v>15</v>
      </c>
      <c r="E12" s="6" t="s">
        <v>16</v>
      </c>
      <c r="F12" s="13" t="s">
        <v>18</v>
      </c>
      <c r="G12" s="13" t="s">
        <v>19</v>
      </c>
      <c r="H12" s="13">
        <v>165</v>
      </c>
      <c r="I12" s="13">
        <v>235</v>
      </c>
      <c r="J12" s="13">
        <v>1</v>
      </c>
      <c r="K12" s="14">
        <v>14.35</v>
      </c>
      <c r="L12" s="14">
        <v>15</v>
      </c>
      <c r="M12" s="14">
        <v>36.130000000000003</v>
      </c>
      <c r="N12" s="18">
        <v>8</v>
      </c>
      <c r="O12" s="5">
        <f t="shared" si="0"/>
        <v>114.8</v>
      </c>
    </row>
    <row r="13" spans="1:15" x14ac:dyDescent="0.25">
      <c r="A13" s="7"/>
      <c r="B13" s="7"/>
      <c r="C13" s="6"/>
      <c r="D13" s="6"/>
      <c r="E13" s="6"/>
      <c r="F13" s="13"/>
      <c r="G13" s="13"/>
      <c r="H13" s="13"/>
      <c r="I13" s="13"/>
      <c r="J13" s="13"/>
      <c r="K13" s="14"/>
      <c r="L13" s="14"/>
      <c r="M13" s="14"/>
      <c r="N13" s="18"/>
      <c r="O13" s="5"/>
    </row>
    <row r="14" spans="1:15" x14ac:dyDescent="0.25">
      <c r="A14" s="7" t="s">
        <v>36</v>
      </c>
      <c r="B14" s="7" t="s">
        <v>23</v>
      </c>
      <c r="C14" s="6" t="s">
        <v>13</v>
      </c>
      <c r="D14" s="6" t="s">
        <v>15</v>
      </c>
      <c r="E14" s="6" t="s">
        <v>16</v>
      </c>
      <c r="F14" s="13" t="s">
        <v>20</v>
      </c>
      <c r="G14" s="13" t="s">
        <v>21</v>
      </c>
      <c r="H14" s="13">
        <v>165</v>
      </c>
      <c r="I14" s="13">
        <v>235</v>
      </c>
      <c r="J14" s="13">
        <v>1</v>
      </c>
      <c r="K14" s="14">
        <v>27.95</v>
      </c>
      <c r="L14" s="14">
        <v>28.6</v>
      </c>
      <c r="M14" s="14">
        <v>70.38</v>
      </c>
      <c r="N14" s="18">
        <v>8</v>
      </c>
      <c r="O14" s="5">
        <f t="shared" si="0"/>
        <v>223.6</v>
      </c>
    </row>
    <row r="15" spans="1:15" x14ac:dyDescent="0.25">
      <c r="A15" s="7" t="s">
        <v>37</v>
      </c>
      <c r="B15" s="7" t="s">
        <v>23</v>
      </c>
      <c r="C15" s="6" t="s">
        <v>13</v>
      </c>
      <c r="D15" s="6" t="s">
        <v>15</v>
      </c>
      <c r="E15" s="6" t="s">
        <v>16</v>
      </c>
      <c r="F15" s="13" t="s">
        <v>20</v>
      </c>
      <c r="G15" s="13" t="s">
        <v>21</v>
      </c>
      <c r="H15" s="13">
        <v>165</v>
      </c>
      <c r="I15" s="13">
        <v>235</v>
      </c>
      <c r="J15" s="13">
        <v>1</v>
      </c>
      <c r="K15" s="14">
        <v>20.149999999999999</v>
      </c>
      <c r="L15" s="14">
        <v>20.8</v>
      </c>
      <c r="M15" s="14">
        <v>50.74</v>
      </c>
      <c r="N15" s="18">
        <v>8</v>
      </c>
      <c r="O15" s="5">
        <f t="shared" si="0"/>
        <v>161.19999999999999</v>
      </c>
    </row>
    <row r="16" spans="1:15" x14ac:dyDescent="0.25">
      <c r="A16" s="7" t="s">
        <v>38</v>
      </c>
      <c r="B16" s="7" t="s">
        <v>23</v>
      </c>
      <c r="C16" s="6" t="s">
        <v>13</v>
      </c>
      <c r="D16" s="6" t="s">
        <v>15</v>
      </c>
      <c r="E16" s="6" t="s">
        <v>16</v>
      </c>
      <c r="F16" s="13" t="s">
        <v>20</v>
      </c>
      <c r="G16" s="13" t="s">
        <v>21</v>
      </c>
      <c r="H16" s="13">
        <v>165</v>
      </c>
      <c r="I16" s="13">
        <v>235</v>
      </c>
      <c r="J16" s="13">
        <v>1</v>
      </c>
      <c r="K16" s="14">
        <v>20</v>
      </c>
      <c r="L16" s="14">
        <v>20.65</v>
      </c>
      <c r="M16" s="14">
        <v>50.36</v>
      </c>
      <c r="N16" s="18">
        <v>8</v>
      </c>
      <c r="O16" s="5">
        <f t="shared" si="0"/>
        <v>160</v>
      </c>
    </row>
    <row r="17" spans="1:15" x14ac:dyDescent="0.25">
      <c r="A17" s="7" t="s">
        <v>39</v>
      </c>
      <c r="B17" s="7" t="s">
        <v>23</v>
      </c>
      <c r="C17" s="6" t="s">
        <v>13</v>
      </c>
      <c r="D17" s="6" t="s">
        <v>15</v>
      </c>
      <c r="E17" s="6" t="s">
        <v>16</v>
      </c>
      <c r="F17" s="13" t="s">
        <v>20</v>
      </c>
      <c r="G17" s="13" t="s">
        <v>21</v>
      </c>
      <c r="H17" s="13">
        <v>165</v>
      </c>
      <c r="I17" s="13">
        <v>235</v>
      </c>
      <c r="J17" s="13">
        <v>1</v>
      </c>
      <c r="K17" s="14">
        <v>20.55</v>
      </c>
      <c r="L17" s="14">
        <v>21.2</v>
      </c>
      <c r="M17" s="14">
        <v>51.74</v>
      </c>
      <c r="N17" s="18">
        <v>8</v>
      </c>
      <c r="O17" s="5">
        <f t="shared" si="0"/>
        <v>164.4</v>
      </c>
    </row>
    <row r="18" spans="1:15" x14ac:dyDescent="0.25">
      <c r="A18" s="7" t="s">
        <v>40</v>
      </c>
      <c r="B18" s="7" t="s">
        <v>23</v>
      </c>
      <c r="C18" s="6" t="s">
        <v>13</v>
      </c>
      <c r="D18" s="6" t="s">
        <v>15</v>
      </c>
      <c r="E18" s="6" t="s">
        <v>16</v>
      </c>
      <c r="F18" s="13" t="s">
        <v>20</v>
      </c>
      <c r="G18" s="13" t="s">
        <v>21</v>
      </c>
      <c r="H18" s="13">
        <v>165</v>
      </c>
      <c r="I18" s="13">
        <v>235</v>
      </c>
      <c r="J18" s="13">
        <v>1</v>
      </c>
      <c r="K18" s="14">
        <v>21</v>
      </c>
      <c r="L18" s="14">
        <v>21.65</v>
      </c>
      <c r="M18" s="14">
        <v>52.88</v>
      </c>
      <c r="N18" s="18">
        <v>8</v>
      </c>
      <c r="O18" s="5">
        <f t="shared" si="0"/>
        <v>168</v>
      </c>
    </row>
    <row r="19" spans="1:15" x14ac:dyDescent="0.25">
      <c r="A19" s="7" t="s">
        <v>41</v>
      </c>
      <c r="B19" s="7" t="s">
        <v>23</v>
      </c>
      <c r="C19" s="6" t="s">
        <v>13</v>
      </c>
      <c r="D19" s="6" t="s">
        <v>15</v>
      </c>
      <c r="E19" s="6" t="s">
        <v>16</v>
      </c>
      <c r="F19" s="13" t="s">
        <v>20</v>
      </c>
      <c r="G19" s="13" t="s">
        <v>21</v>
      </c>
      <c r="H19" s="13">
        <v>165</v>
      </c>
      <c r="I19" s="13">
        <v>235</v>
      </c>
      <c r="J19" s="13">
        <v>1</v>
      </c>
      <c r="K19" s="14">
        <v>19.5</v>
      </c>
      <c r="L19" s="14">
        <v>20.149999999999999</v>
      </c>
      <c r="M19" s="14">
        <v>49.1</v>
      </c>
      <c r="N19" s="18">
        <v>8</v>
      </c>
      <c r="O19" s="5">
        <f t="shared" si="0"/>
        <v>156</v>
      </c>
    </row>
    <row r="20" spans="1:15" x14ac:dyDescent="0.25">
      <c r="A20" s="7" t="s">
        <v>42</v>
      </c>
      <c r="B20" s="7" t="s">
        <v>23</v>
      </c>
      <c r="C20" s="6" t="s">
        <v>13</v>
      </c>
      <c r="D20" s="6" t="s">
        <v>15</v>
      </c>
      <c r="E20" s="6" t="s">
        <v>16</v>
      </c>
      <c r="F20" s="13" t="s">
        <v>20</v>
      </c>
      <c r="G20" s="13" t="s">
        <v>21</v>
      </c>
      <c r="H20" s="13">
        <v>165</v>
      </c>
      <c r="I20" s="13">
        <v>235</v>
      </c>
      <c r="J20" s="13">
        <v>1</v>
      </c>
      <c r="K20" s="14">
        <v>19.899999999999999</v>
      </c>
      <c r="L20" s="14">
        <v>20.55</v>
      </c>
      <c r="M20" s="14">
        <v>50.11</v>
      </c>
      <c r="N20" s="18">
        <v>8</v>
      </c>
      <c r="O20" s="5">
        <f t="shared" si="0"/>
        <v>159.19999999999999</v>
      </c>
    </row>
    <row r="21" spans="1:15" x14ac:dyDescent="0.25">
      <c r="A21" s="7" t="s">
        <v>43</v>
      </c>
      <c r="B21" s="7" t="s">
        <v>23</v>
      </c>
      <c r="C21" s="6" t="s">
        <v>13</v>
      </c>
      <c r="D21" s="6" t="s">
        <v>15</v>
      </c>
      <c r="E21" s="6" t="s">
        <v>16</v>
      </c>
      <c r="F21" s="13" t="s">
        <v>20</v>
      </c>
      <c r="G21" s="13" t="s">
        <v>21</v>
      </c>
      <c r="H21" s="13">
        <v>165</v>
      </c>
      <c r="I21" s="13">
        <v>235</v>
      </c>
      <c r="J21" s="13">
        <v>1</v>
      </c>
      <c r="K21" s="14">
        <v>19.2</v>
      </c>
      <c r="L21" s="14">
        <v>19.850000000000001</v>
      </c>
      <c r="M21" s="14">
        <v>48.34</v>
      </c>
      <c r="N21" s="18">
        <v>8</v>
      </c>
      <c r="O21" s="5">
        <f t="shared" si="0"/>
        <v>153.6</v>
      </c>
    </row>
    <row r="22" spans="1:15" x14ac:dyDescent="0.25">
      <c r="A22" s="7" t="s">
        <v>44</v>
      </c>
      <c r="B22" s="7" t="s">
        <v>23</v>
      </c>
      <c r="C22" s="6" t="s">
        <v>13</v>
      </c>
      <c r="D22" s="6" t="s">
        <v>15</v>
      </c>
      <c r="E22" s="6" t="s">
        <v>16</v>
      </c>
      <c r="F22" s="13" t="s">
        <v>20</v>
      </c>
      <c r="G22" s="13" t="s">
        <v>21</v>
      </c>
      <c r="H22" s="13">
        <v>165</v>
      </c>
      <c r="I22" s="13">
        <v>235</v>
      </c>
      <c r="J22" s="13">
        <v>1</v>
      </c>
      <c r="K22" s="14">
        <v>16.5</v>
      </c>
      <c r="L22" s="14">
        <v>17.149999999999999</v>
      </c>
      <c r="M22" s="14">
        <v>41.55</v>
      </c>
      <c r="N22" s="18">
        <v>8</v>
      </c>
      <c r="O22" s="5">
        <f t="shared" si="0"/>
        <v>132</v>
      </c>
    </row>
    <row r="23" spans="1:15" x14ac:dyDescent="0.25">
      <c r="A23" s="7" t="s">
        <v>45</v>
      </c>
      <c r="B23" s="7" t="s">
        <v>23</v>
      </c>
      <c r="C23" s="6" t="s">
        <v>13</v>
      </c>
      <c r="D23" s="6" t="s">
        <v>15</v>
      </c>
      <c r="E23" s="6" t="s">
        <v>16</v>
      </c>
      <c r="F23" s="13" t="s">
        <v>20</v>
      </c>
      <c r="G23" s="13" t="s">
        <v>21</v>
      </c>
      <c r="H23" s="13">
        <v>165</v>
      </c>
      <c r="I23" s="13">
        <v>235</v>
      </c>
      <c r="J23" s="13">
        <v>1</v>
      </c>
      <c r="K23" s="14">
        <v>21.55</v>
      </c>
      <c r="L23" s="14">
        <v>22.2</v>
      </c>
      <c r="M23" s="14">
        <v>54.26</v>
      </c>
      <c r="N23" s="18">
        <v>8</v>
      </c>
      <c r="O23" s="5">
        <f t="shared" si="0"/>
        <v>172.4</v>
      </c>
    </row>
    <row r="24" spans="1:15" x14ac:dyDescent="0.25">
      <c r="A24" s="7" t="s">
        <v>46</v>
      </c>
      <c r="B24" s="7" t="s">
        <v>23</v>
      </c>
      <c r="C24" s="6" t="s">
        <v>13</v>
      </c>
      <c r="D24" s="6" t="s">
        <v>15</v>
      </c>
      <c r="E24" s="6" t="s">
        <v>16</v>
      </c>
      <c r="F24" s="13" t="s">
        <v>20</v>
      </c>
      <c r="G24" s="13" t="s">
        <v>21</v>
      </c>
      <c r="H24" s="13">
        <v>165</v>
      </c>
      <c r="I24" s="13">
        <v>235</v>
      </c>
      <c r="J24" s="13">
        <v>1</v>
      </c>
      <c r="K24" s="14">
        <v>19</v>
      </c>
      <c r="L24" s="14">
        <v>19.649999999999999</v>
      </c>
      <c r="M24" s="14">
        <v>47.84</v>
      </c>
      <c r="N24" s="18">
        <v>8</v>
      </c>
      <c r="O24" s="5">
        <f t="shared" si="0"/>
        <v>152</v>
      </c>
    </row>
    <row r="25" spans="1:15" x14ac:dyDescent="0.25">
      <c r="A25" s="7"/>
      <c r="B25" s="7"/>
      <c r="C25" s="7"/>
      <c r="D25" s="7"/>
      <c r="E25" s="7"/>
      <c r="F25" s="13"/>
      <c r="G25" s="13"/>
      <c r="H25" s="13"/>
      <c r="I25" s="13"/>
      <c r="J25" s="13"/>
      <c r="K25" s="14"/>
      <c r="L25" s="14"/>
      <c r="M25" s="14"/>
      <c r="N25" s="18"/>
      <c r="O25" s="5"/>
    </row>
    <row r="26" spans="1:15" x14ac:dyDescent="0.25">
      <c r="A26" s="7" t="s">
        <v>47</v>
      </c>
      <c r="B26" s="7" t="s">
        <v>22</v>
      </c>
      <c r="C26" s="6" t="s">
        <v>13</v>
      </c>
      <c r="D26" s="7" t="s">
        <v>24</v>
      </c>
      <c r="E26" s="6" t="s">
        <v>16</v>
      </c>
      <c r="F26" s="13" t="s">
        <v>18</v>
      </c>
      <c r="G26" s="13" t="s">
        <v>19</v>
      </c>
      <c r="H26" s="13">
        <v>85</v>
      </c>
      <c r="I26" s="13">
        <v>290</v>
      </c>
      <c r="J26" s="13">
        <v>1</v>
      </c>
      <c r="K26" s="14">
        <v>18.05</v>
      </c>
      <c r="L26" s="14">
        <v>18.399999999999999</v>
      </c>
      <c r="M26" s="14">
        <v>37.049999999999997</v>
      </c>
      <c r="N26" s="18">
        <v>7.8</v>
      </c>
      <c r="O26" s="5">
        <f t="shared" si="0"/>
        <v>140.79</v>
      </c>
    </row>
    <row r="27" spans="1:15" x14ac:dyDescent="0.25">
      <c r="A27" s="7"/>
      <c r="B27" s="7"/>
      <c r="C27" s="6"/>
      <c r="D27" s="7"/>
      <c r="E27" s="7"/>
      <c r="F27" s="13"/>
      <c r="G27" s="13"/>
      <c r="H27" s="13"/>
      <c r="I27" s="13"/>
      <c r="J27" s="13"/>
      <c r="K27" s="14"/>
      <c r="L27" s="14"/>
      <c r="M27" s="14"/>
      <c r="N27" s="18"/>
      <c r="O27" s="5"/>
    </row>
    <row r="28" spans="1:15" x14ac:dyDescent="0.25">
      <c r="A28" s="7" t="s">
        <v>48</v>
      </c>
      <c r="B28" s="7" t="s">
        <v>22</v>
      </c>
      <c r="C28" s="6" t="s">
        <v>13</v>
      </c>
      <c r="D28" s="7" t="s">
        <v>24</v>
      </c>
      <c r="E28" s="6" t="s">
        <v>16</v>
      </c>
      <c r="F28" s="13" t="s">
        <v>20</v>
      </c>
      <c r="G28" s="13" t="s">
        <v>21</v>
      </c>
      <c r="H28" s="13">
        <v>85</v>
      </c>
      <c r="I28" s="13">
        <v>290</v>
      </c>
      <c r="J28" s="13">
        <v>1</v>
      </c>
      <c r="K28" s="14">
        <v>21.15</v>
      </c>
      <c r="L28" s="14">
        <v>21.5</v>
      </c>
      <c r="M28" s="14">
        <v>42.92</v>
      </c>
      <c r="N28" s="18">
        <v>7.8</v>
      </c>
      <c r="O28" s="5">
        <f t="shared" si="0"/>
        <v>164.97</v>
      </c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7"/>
      <c r="J29" s="19">
        <f>SUM(J2:J28)</f>
        <v>24</v>
      </c>
      <c r="K29" s="20">
        <f>SUM(K2:K28)</f>
        <v>479.84999999999997</v>
      </c>
      <c r="L29" s="20">
        <f>SUM(L2:L28)</f>
        <v>494.84999999999985</v>
      </c>
      <c r="M29" s="20">
        <f>SUM(M2:M28)</f>
        <v>1189.5100000000002</v>
      </c>
      <c r="N29" s="20"/>
      <c r="O29" s="21">
        <f>SUM(O2:O28)</f>
        <v>3830.9599999999996</v>
      </c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8"/>
      <c r="L30" s="8"/>
      <c r="M30" s="8"/>
      <c r="N30" s="16"/>
      <c r="O30" s="15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8"/>
      <c r="L31" s="8"/>
      <c r="M31" s="8"/>
      <c r="N31" s="16"/>
      <c r="O31" s="15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  <c r="L32" s="8"/>
      <c r="M32" s="8"/>
      <c r="N32" s="16"/>
      <c r="O32" s="15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  <c r="L33" s="8"/>
      <c r="M33" s="8"/>
      <c r="N33" s="16"/>
      <c r="O33" s="15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  <c r="L34" s="8"/>
      <c r="M34" s="8"/>
      <c r="N34" s="16"/>
      <c r="O34" s="15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  <c r="L35" s="8"/>
      <c r="M35" s="8"/>
      <c r="N35" s="16"/>
      <c r="O35" s="15"/>
    </row>
    <row r="36" spans="1:1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  <c r="L36" s="8"/>
      <c r="M36" s="8"/>
      <c r="N36" s="16"/>
      <c r="O36" s="15"/>
    </row>
    <row r="37" spans="1:1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8"/>
      <c r="L37" s="8"/>
      <c r="M37" s="8"/>
      <c r="N37" s="16"/>
      <c r="O37" s="15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8"/>
      <c r="L38" s="8"/>
      <c r="M38" s="8"/>
      <c r="N38" s="16"/>
      <c r="O38" s="15"/>
    </row>
    <row r="39" spans="1:1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8"/>
      <c r="L39" s="8"/>
      <c r="M39" s="8"/>
      <c r="N39" s="16"/>
      <c r="O39" s="15"/>
    </row>
    <row r="40" spans="1:1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8"/>
      <c r="L40" s="8"/>
      <c r="M40" s="8"/>
      <c r="N40" s="16"/>
      <c r="O40" s="15"/>
    </row>
    <row r="41" spans="1:1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8"/>
      <c r="L41" s="8"/>
      <c r="M41" s="8"/>
      <c r="N41" s="16"/>
      <c r="O41" s="15"/>
    </row>
    <row r="42" spans="1:1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8"/>
      <c r="L42" s="8"/>
      <c r="M42" s="8"/>
      <c r="N42" s="16"/>
      <c r="O42" s="15"/>
    </row>
    <row r="43" spans="1:1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8"/>
      <c r="L43" s="8"/>
      <c r="M43" s="8"/>
      <c r="N43" s="16"/>
      <c r="O43" s="15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8"/>
      <c r="L44" s="8"/>
      <c r="M44" s="8"/>
      <c r="N44" s="16"/>
      <c r="O44" s="15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8"/>
      <c r="L45" s="8"/>
      <c r="M45" s="8"/>
      <c r="N45" s="16"/>
      <c r="O45" s="15"/>
    </row>
    <row r="46" spans="1:1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8"/>
      <c r="L46" s="8"/>
      <c r="M46" s="8"/>
      <c r="N46" s="16"/>
      <c r="O46" s="15"/>
    </row>
    <row r="47" spans="1:1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8"/>
      <c r="L47" s="8"/>
      <c r="M47" s="8"/>
      <c r="N47" s="16"/>
      <c r="O47" s="15"/>
    </row>
    <row r="48" spans="1:1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8"/>
      <c r="L48" s="8"/>
      <c r="M48" s="8"/>
      <c r="N48" s="16"/>
      <c r="O48" s="15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8"/>
      <c r="L49" s="8"/>
      <c r="M49" s="8"/>
      <c r="N49" s="16"/>
      <c r="O49" s="15"/>
    </row>
    <row r="50" spans="1:1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8"/>
      <c r="L50" s="8"/>
      <c r="M50" s="8"/>
      <c r="N50" s="16"/>
      <c r="O50" s="15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16"/>
      <c r="O51" s="15"/>
    </row>
    <row r="52" spans="1:1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8"/>
      <c r="L52" s="8"/>
      <c r="M52" s="8"/>
      <c r="N52" s="16"/>
      <c r="O52" s="15"/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8"/>
      <c r="L53" s="8"/>
      <c r="M53" s="8"/>
      <c r="N53" s="16"/>
      <c r="O53" s="15"/>
    </row>
  </sheetData>
  <autoFilter ref="A1:O53"/>
  <phoneticPr fontId="18" type="noConversion"/>
  <pageMargins left="0.7" right="0.7" top="0.75" bottom="0.75" header="0.3" footer="0.3"/>
  <pageSetup paperSize="9" orientation="portrait" r:id="rId1"/>
  <ignoredErrors>
    <ignoredError sqref="F2:N25 F27:M28 F26:M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akm05</dc:creator>
  <cp:lastModifiedBy>Neslihan Altay</cp:lastModifiedBy>
  <dcterms:created xsi:type="dcterms:W3CDTF">2019-12-30T12:58:23Z</dcterms:created>
  <dcterms:modified xsi:type="dcterms:W3CDTF">2023-08-07T06:47:40Z</dcterms:modified>
</cp:coreProperties>
</file>