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eynep.tetik\Desktop\FİRMALAR\ARYE MOSHE LEVI\Arye Moshe Sevkiyat 04.09.2024\"/>
    </mc:Choice>
  </mc:AlternateContent>
  <bookViews>
    <workbookView xWindow="0" yWindow="0" windowWidth="18195" windowHeight="11235"/>
  </bookViews>
  <sheets>
    <sheet name="Sheet" sheetId="1" r:id="rId1"/>
  </sheets>
  <definedNames>
    <definedName name="_xlnm._FilterDatabase" localSheetId="0" hidden="1">Sheet!$A$1:$S$46</definedName>
  </definedNames>
  <calcPr calcId="162913"/>
</workbook>
</file>

<file path=xl/calcChain.xml><?xml version="1.0" encoding="utf-8"?>
<calcChain xmlns="http://schemas.openxmlformats.org/spreadsheetml/2006/main">
  <c r="O47" i="1" l="1"/>
  <c r="N47" i="1"/>
  <c r="S4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2" i="1"/>
  <c r="Q47" i="1" l="1"/>
  <c r="P47" i="1"/>
</calcChain>
</file>

<file path=xl/sharedStrings.xml><?xml version="1.0" encoding="utf-8"?>
<sst xmlns="http://schemas.openxmlformats.org/spreadsheetml/2006/main" count="334" uniqueCount="36">
  <si>
    <t>ARYE MOSHE LEVY</t>
  </si>
  <si>
    <t>24J-G12976</t>
  </si>
  <si>
    <t>110257</t>
  </si>
  <si>
    <t>BEYAZ</t>
  </si>
  <si>
    <t/>
  </si>
  <si>
    <t>24J-G12977</t>
  </si>
  <si>
    <t>230416</t>
  </si>
  <si>
    <t>LACIVERT</t>
  </si>
  <si>
    <t>24J-G12978</t>
  </si>
  <si>
    <t>216902</t>
  </si>
  <si>
    <t>A.PEMBE</t>
  </si>
  <si>
    <t>24J-G12979</t>
  </si>
  <si>
    <t>131994</t>
  </si>
  <si>
    <t>GRI</t>
  </si>
  <si>
    <t>24P-14409</t>
  </si>
  <si>
    <t>R-4861</t>
  </si>
  <si>
    <t>3</t>
  </si>
  <si>
    <t>1</t>
  </si>
  <si>
    <t xml:space="preserve">CUSTOMER </t>
  </si>
  <si>
    <t>ORDER NO</t>
  </si>
  <si>
    <t xml:space="preserve">FABRIC NAME </t>
  </si>
  <si>
    <t>COLOR NO</t>
  </si>
  <si>
    <t>COLOR NAME</t>
  </si>
  <si>
    <t>DESIGN NO</t>
  </si>
  <si>
    <t>VARIANT NO</t>
  </si>
  <si>
    <t>WIDTH</t>
  </si>
  <si>
    <t>GR</t>
  </si>
  <si>
    <t>ROLL</t>
  </si>
  <si>
    <t>NET KG</t>
  </si>
  <si>
    <t>GROSS KG</t>
  </si>
  <si>
    <t>METER</t>
  </si>
  <si>
    <t>PRICE</t>
  </si>
  <si>
    <t xml:space="preserve">TOTAL </t>
  </si>
  <si>
    <t>30/1 COMPACT INTERLOCK TUBULAR</t>
  </si>
  <si>
    <t>30/1 COMPACT INTERLOCK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</si>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</sst>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2" xfId="0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164" fontId="0" fillId="2" borderId="3" xfId="0" applyNumberFormat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47"/>
  <sheetViews>
    <sheetView tabSelected="1" workbookViewId="0">
      <pane ySplit="1" topLeftCell="A26" activePane="bottomLeft" state="frozen"/>
      <selection pane="bottomLeft" activeCell="F50" sqref="F50"/>
    </sheetView>
  </sheetViews>
  <sheetFormatPr defaultRowHeight="15" x14ac:dyDescent="0.25"/>
  <cols>
    <col min="1" max="1" width="17" style="6" bestFit="1" customWidth="1"/>
    <col min="2" max="4" width="10.28515625" style="7" bestFit="1" customWidth="1"/>
    <col min="5" max="5" width="10.7109375" style="6" bestFit="1" customWidth="1"/>
    <col min="6" max="6" width="10.7109375" style="6" customWidth="1"/>
    <col min="7" max="7" width="44.7109375" style="6" bestFit="1" customWidth="1"/>
    <col min="8" max="8" width="10.28515625" style="6" bestFit="1" customWidth="1"/>
    <col min="9" max="9" width="12.85546875" style="6" bestFit="1" customWidth="1"/>
    <col min="10" max="10" width="10.85546875" style="6" bestFit="1" customWidth="1"/>
    <col min="11" max="11" width="12.28515625" style="6" bestFit="1" customWidth="1"/>
    <col min="12" max="12" width="7" style="7" bestFit="1" customWidth="1"/>
    <col min="13" max="13" width="4" style="7" bestFit="1" customWidth="1"/>
    <col min="14" max="14" width="5.28515625" style="7" bestFit="1" customWidth="1"/>
    <col min="15" max="15" width="8.5703125" style="6" bestFit="1" customWidth="1"/>
    <col min="16" max="16" width="9.7109375" style="8" bestFit="1" customWidth="1"/>
    <col min="17" max="17" width="8.140625" style="8" bestFit="1" customWidth="1"/>
    <col min="18" max="18" width="7.140625" style="9" bestFit="1" customWidth="1"/>
    <col min="19" max="19" width="10.28515625" style="9" bestFit="1" customWidth="1"/>
    <col min="20" max="16384" width="9.140625" style="5"/>
  </cols>
  <sheetData>
    <row r="1" spans="1:19" x14ac:dyDescent="0.25">
      <c r="A1" s="1" t="s">
        <v>18</v>
      </c>
      <c r="B1" s="1" t="s">
        <v>19</v>
      </c>
      <c r="C1" s="1" t="s">
        <v>19</v>
      </c>
      <c r="D1" s="1" t="s">
        <v>19</v>
      </c>
      <c r="E1" s="1" t="s">
        <v>19</v>
      </c>
      <c r="F1" s="1" t="s">
        <v>35</v>
      </c>
      <c r="G1" s="1" t="s">
        <v>20</v>
      </c>
      <c r="H1" s="2" t="s">
        <v>21</v>
      </c>
      <c r="I1" s="1" t="s">
        <v>22</v>
      </c>
      <c r="J1" s="1" t="s">
        <v>23</v>
      </c>
      <c r="K1" s="2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3" t="s">
        <v>31</v>
      </c>
      <c r="S1" s="4" t="s">
        <v>32</v>
      </c>
    </row>
    <row r="2" spans="1:19" x14ac:dyDescent="0.25">
      <c r="A2" s="6" t="s">
        <v>0</v>
      </c>
      <c r="B2" s="7">
        <v>6935</v>
      </c>
      <c r="C2" s="7">
        <v>48173</v>
      </c>
      <c r="D2" s="7">
        <v>68860</v>
      </c>
      <c r="E2" s="6" t="s">
        <v>1</v>
      </c>
      <c r="F2" s="6">
        <v>24138270</v>
      </c>
      <c r="G2" s="6" t="s">
        <v>33</v>
      </c>
      <c r="H2" s="6" t="s">
        <v>2</v>
      </c>
      <c r="I2" s="6" t="s">
        <v>3</v>
      </c>
      <c r="J2" s="6" t="s">
        <v>4</v>
      </c>
      <c r="K2" s="6" t="s">
        <v>4</v>
      </c>
      <c r="L2" s="7">
        <v>88</v>
      </c>
      <c r="M2" s="7">
        <v>220</v>
      </c>
      <c r="N2" s="7">
        <v>1</v>
      </c>
      <c r="O2" s="6">
        <v>24.1</v>
      </c>
      <c r="P2" s="8">
        <v>24.45</v>
      </c>
      <c r="Q2" s="8">
        <v>63.06</v>
      </c>
      <c r="R2" s="9">
        <v>6.5</v>
      </c>
      <c r="S2" s="9">
        <f>PRODUCT(O2*R2)</f>
        <v>156.65</v>
      </c>
    </row>
    <row r="3" spans="1:19" x14ac:dyDescent="0.25">
      <c r="A3" s="6" t="s">
        <v>0</v>
      </c>
      <c r="B3" s="7">
        <v>6935</v>
      </c>
      <c r="C3" s="7">
        <v>48173</v>
      </c>
      <c r="D3" s="7">
        <v>68860</v>
      </c>
      <c r="E3" s="6" t="s">
        <v>1</v>
      </c>
      <c r="F3" s="6">
        <v>24138271</v>
      </c>
      <c r="G3" s="6" t="s">
        <v>33</v>
      </c>
      <c r="H3" s="6" t="s">
        <v>2</v>
      </c>
      <c r="I3" s="6" t="s">
        <v>3</v>
      </c>
      <c r="J3" s="6" t="s">
        <v>4</v>
      </c>
      <c r="K3" s="6" t="s">
        <v>4</v>
      </c>
      <c r="L3" s="7">
        <v>88</v>
      </c>
      <c r="M3" s="7">
        <v>220</v>
      </c>
      <c r="N3" s="7">
        <v>1</v>
      </c>
      <c r="O3" s="6">
        <v>18.55</v>
      </c>
      <c r="P3" s="8">
        <v>18.899999999999999</v>
      </c>
      <c r="Q3" s="8">
        <v>48.53</v>
      </c>
      <c r="R3" s="9">
        <v>6.5</v>
      </c>
      <c r="S3" s="9">
        <f t="shared" ref="S3:S46" si="0">PRODUCT(O3*R3)</f>
        <v>120.575</v>
      </c>
    </row>
    <row r="4" spans="1:19" x14ac:dyDescent="0.25">
      <c r="A4" s="6" t="s">
        <v>0</v>
      </c>
      <c r="B4" s="7">
        <v>6935</v>
      </c>
      <c r="C4" s="7">
        <v>48173</v>
      </c>
      <c r="D4" s="7">
        <v>68860</v>
      </c>
      <c r="E4" s="6" t="s">
        <v>1</v>
      </c>
      <c r="F4" s="6">
        <v>24138272</v>
      </c>
      <c r="G4" s="6" t="s">
        <v>33</v>
      </c>
      <c r="H4" s="6" t="s">
        <v>2</v>
      </c>
      <c r="I4" s="6" t="s">
        <v>3</v>
      </c>
      <c r="J4" s="6" t="s">
        <v>4</v>
      </c>
      <c r="K4" s="6" t="s">
        <v>4</v>
      </c>
      <c r="L4" s="7">
        <v>88</v>
      </c>
      <c r="M4" s="7">
        <v>220</v>
      </c>
      <c r="N4" s="7">
        <v>1</v>
      </c>
      <c r="O4" s="6">
        <v>17.350000000000001</v>
      </c>
      <c r="P4" s="8">
        <v>17.7</v>
      </c>
      <c r="Q4" s="8">
        <v>45.4</v>
      </c>
      <c r="R4" s="9">
        <v>6.5</v>
      </c>
      <c r="S4" s="9">
        <f t="shared" si="0"/>
        <v>112.77500000000001</v>
      </c>
    </row>
    <row r="5" spans="1:19" x14ac:dyDescent="0.25">
      <c r="A5" s="6" t="s">
        <v>0</v>
      </c>
      <c r="B5" s="7">
        <v>6935</v>
      </c>
      <c r="C5" s="7">
        <v>48173</v>
      </c>
      <c r="D5" s="7">
        <v>68860</v>
      </c>
      <c r="E5" s="6" t="s">
        <v>1</v>
      </c>
      <c r="F5" s="6">
        <v>24138274</v>
      </c>
      <c r="G5" s="6" t="s">
        <v>33</v>
      </c>
      <c r="H5" s="6" t="s">
        <v>2</v>
      </c>
      <c r="I5" s="6" t="s">
        <v>3</v>
      </c>
      <c r="J5" s="6" t="s">
        <v>4</v>
      </c>
      <c r="K5" s="6" t="s">
        <v>4</v>
      </c>
      <c r="L5" s="7">
        <v>88</v>
      </c>
      <c r="M5" s="7">
        <v>220</v>
      </c>
      <c r="N5" s="7">
        <v>1</v>
      </c>
      <c r="O5" s="6">
        <v>17.8</v>
      </c>
      <c r="P5" s="8">
        <v>18.149999999999999</v>
      </c>
      <c r="Q5" s="8">
        <v>46.57</v>
      </c>
      <c r="R5" s="9">
        <v>6.5</v>
      </c>
      <c r="S5" s="9">
        <f t="shared" si="0"/>
        <v>115.7</v>
      </c>
    </row>
    <row r="6" spans="1:19" x14ac:dyDescent="0.25">
      <c r="A6" s="6" t="s">
        <v>0</v>
      </c>
      <c r="B6" s="7">
        <v>6935</v>
      </c>
      <c r="C6" s="7">
        <v>48173</v>
      </c>
      <c r="D6" s="7">
        <v>68860</v>
      </c>
      <c r="E6" s="6" t="s">
        <v>1</v>
      </c>
      <c r="F6" s="6">
        <v>24138275</v>
      </c>
      <c r="G6" s="6" t="s">
        <v>33</v>
      </c>
      <c r="H6" s="6" t="s">
        <v>2</v>
      </c>
      <c r="I6" s="6" t="s">
        <v>3</v>
      </c>
      <c r="J6" s="6" t="s">
        <v>4</v>
      </c>
      <c r="K6" s="6" t="s">
        <v>4</v>
      </c>
      <c r="L6" s="7">
        <v>88</v>
      </c>
      <c r="M6" s="7">
        <v>220</v>
      </c>
      <c r="N6" s="7">
        <v>1</v>
      </c>
      <c r="O6" s="6">
        <v>17.350000000000001</v>
      </c>
      <c r="P6" s="8">
        <v>17.7</v>
      </c>
      <c r="Q6" s="8">
        <v>45.4</v>
      </c>
      <c r="R6" s="9">
        <v>6.5</v>
      </c>
      <c r="S6" s="9">
        <f t="shared" si="0"/>
        <v>112.77500000000001</v>
      </c>
    </row>
    <row r="7" spans="1:19" x14ac:dyDescent="0.25">
      <c r="A7" s="6" t="s">
        <v>0</v>
      </c>
      <c r="B7" s="7">
        <v>6935</v>
      </c>
      <c r="C7" s="7">
        <v>48173</v>
      </c>
      <c r="D7" s="7">
        <v>68860</v>
      </c>
      <c r="E7" s="6" t="s">
        <v>1</v>
      </c>
      <c r="F7" s="6">
        <v>24138276</v>
      </c>
      <c r="G7" s="6" t="s">
        <v>33</v>
      </c>
      <c r="H7" s="6" t="s">
        <v>2</v>
      </c>
      <c r="I7" s="6" t="s">
        <v>3</v>
      </c>
      <c r="J7" s="6" t="s">
        <v>4</v>
      </c>
      <c r="K7" s="6" t="s">
        <v>4</v>
      </c>
      <c r="L7" s="7">
        <v>88</v>
      </c>
      <c r="M7" s="7">
        <v>220</v>
      </c>
      <c r="N7" s="7">
        <v>1</v>
      </c>
      <c r="O7" s="6">
        <v>16.95</v>
      </c>
      <c r="P7" s="8">
        <v>17.3</v>
      </c>
      <c r="Q7" s="8">
        <v>44.35</v>
      </c>
      <c r="R7" s="9">
        <v>6.5</v>
      </c>
      <c r="S7" s="9">
        <f t="shared" si="0"/>
        <v>110.175</v>
      </c>
    </row>
    <row r="8" spans="1:19" x14ac:dyDescent="0.25">
      <c r="A8" s="6" t="s">
        <v>0</v>
      </c>
      <c r="B8" s="7">
        <v>6935</v>
      </c>
      <c r="C8" s="7">
        <v>48173</v>
      </c>
      <c r="D8" s="7">
        <v>68860</v>
      </c>
      <c r="E8" s="6" t="s">
        <v>1</v>
      </c>
      <c r="F8" s="6">
        <v>24138273</v>
      </c>
      <c r="G8" s="6" t="s">
        <v>33</v>
      </c>
      <c r="H8" s="6" t="s">
        <v>2</v>
      </c>
      <c r="I8" s="6" t="s">
        <v>3</v>
      </c>
      <c r="J8" s="6" t="s">
        <v>4</v>
      </c>
      <c r="K8" s="6" t="s">
        <v>4</v>
      </c>
      <c r="L8" s="7">
        <v>88</v>
      </c>
      <c r="M8" s="7">
        <v>220</v>
      </c>
      <c r="N8" s="7">
        <v>1</v>
      </c>
      <c r="O8" s="6">
        <v>25.45</v>
      </c>
      <c r="P8" s="8">
        <v>25.8</v>
      </c>
      <c r="Q8" s="8">
        <v>66.59</v>
      </c>
      <c r="R8" s="9">
        <v>6.5</v>
      </c>
      <c r="S8" s="9">
        <f t="shared" si="0"/>
        <v>165.42499999999998</v>
      </c>
    </row>
    <row r="9" spans="1:19" x14ac:dyDescent="0.25">
      <c r="A9" s="6" t="s">
        <v>0</v>
      </c>
      <c r="B9" s="7">
        <v>6935</v>
      </c>
      <c r="C9" s="7">
        <v>48172</v>
      </c>
      <c r="D9" s="7">
        <v>68861</v>
      </c>
      <c r="E9" s="6" t="s">
        <v>5</v>
      </c>
      <c r="F9" s="6">
        <v>24138260</v>
      </c>
      <c r="G9" s="6" t="s">
        <v>33</v>
      </c>
      <c r="H9" s="6" t="s">
        <v>6</v>
      </c>
      <c r="I9" s="6" t="s">
        <v>7</v>
      </c>
      <c r="J9" s="6" t="s">
        <v>4</v>
      </c>
      <c r="K9" s="6" t="s">
        <v>4</v>
      </c>
      <c r="L9" s="7">
        <v>88</v>
      </c>
      <c r="M9" s="7">
        <v>220</v>
      </c>
      <c r="N9" s="7">
        <v>1</v>
      </c>
      <c r="O9" s="6">
        <v>14.6</v>
      </c>
      <c r="P9" s="8">
        <v>14.95</v>
      </c>
      <c r="Q9" s="8">
        <v>38.200000000000003</v>
      </c>
      <c r="R9" s="9">
        <v>7</v>
      </c>
      <c r="S9" s="9">
        <f t="shared" si="0"/>
        <v>102.2</v>
      </c>
    </row>
    <row r="10" spans="1:19" x14ac:dyDescent="0.25">
      <c r="A10" s="6" t="s">
        <v>0</v>
      </c>
      <c r="B10" s="7">
        <v>6935</v>
      </c>
      <c r="C10" s="7">
        <v>48172</v>
      </c>
      <c r="D10" s="7">
        <v>68861</v>
      </c>
      <c r="E10" s="6" t="s">
        <v>5</v>
      </c>
      <c r="F10" s="6">
        <v>24138261</v>
      </c>
      <c r="G10" s="6" t="s">
        <v>33</v>
      </c>
      <c r="H10" s="6" t="s">
        <v>6</v>
      </c>
      <c r="I10" s="6" t="s">
        <v>7</v>
      </c>
      <c r="J10" s="6" t="s">
        <v>4</v>
      </c>
      <c r="K10" s="6" t="s">
        <v>4</v>
      </c>
      <c r="L10" s="7">
        <v>88</v>
      </c>
      <c r="M10" s="7">
        <v>220</v>
      </c>
      <c r="N10" s="7">
        <v>1</v>
      </c>
      <c r="O10" s="6">
        <v>22.95</v>
      </c>
      <c r="P10" s="8">
        <v>23.3</v>
      </c>
      <c r="Q10" s="8">
        <v>60.05</v>
      </c>
      <c r="R10" s="9">
        <v>7</v>
      </c>
      <c r="S10" s="9">
        <f t="shared" si="0"/>
        <v>160.65</v>
      </c>
    </row>
    <row r="11" spans="1:19" x14ac:dyDescent="0.25">
      <c r="A11" s="6" t="s">
        <v>0</v>
      </c>
      <c r="B11" s="7">
        <v>6935</v>
      </c>
      <c r="C11" s="7">
        <v>48172</v>
      </c>
      <c r="D11" s="7">
        <v>68861</v>
      </c>
      <c r="E11" s="6" t="s">
        <v>5</v>
      </c>
      <c r="F11" s="6">
        <v>24138262</v>
      </c>
      <c r="G11" s="6" t="s">
        <v>33</v>
      </c>
      <c r="H11" s="6" t="s">
        <v>6</v>
      </c>
      <c r="I11" s="6" t="s">
        <v>7</v>
      </c>
      <c r="J11" s="6" t="s">
        <v>4</v>
      </c>
      <c r="K11" s="6" t="s">
        <v>4</v>
      </c>
      <c r="L11" s="7">
        <v>88</v>
      </c>
      <c r="M11" s="7">
        <v>220</v>
      </c>
      <c r="N11" s="7">
        <v>1</v>
      </c>
      <c r="O11" s="6">
        <v>15.35</v>
      </c>
      <c r="P11" s="8">
        <v>15.7</v>
      </c>
      <c r="Q11" s="8">
        <v>40.159999999999997</v>
      </c>
      <c r="R11" s="9">
        <v>7</v>
      </c>
      <c r="S11" s="9">
        <f t="shared" si="0"/>
        <v>107.45</v>
      </c>
    </row>
    <row r="12" spans="1:19" x14ac:dyDescent="0.25">
      <c r="A12" s="6" t="s">
        <v>0</v>
      </c>
      <c r="B12" s="7">
        <v>6935</v>
      </c>
      <c r="C12" s="7">
        <v>48172</v>
      </c>
      <c r="D12" s="7">
        <v>68861</v>
      </c>
      <c r="E12" s="6" t="s">
        <v>5</v>
      </c>
      <c r="F12" s="6">
        <v>24138263</v>
      </c>
      <c r="G12" s="6" t="s">
        <v>33</v>
      </c>
      <c r="H12" s="6" t="s">
        <v>6</v>
      </c>
      <c r="I12" s="6" t="s">
        <v>7</v>
      </c>
      <c r="J12" s="6" t="s">
        <v>4</v>
      </c>
      <c r="K12" s="6" t="s">
        <v>4</v>
      </c>
      <c r="L12" s="7">
        <v>88</v>
      </c>
      <c r="M12" s="7">
        <v>220</v>
      </c>
      <c r="N12" s="7">
        <v>1</v>
      </c>
      <c r="O12" s="6">
        <v>12.45</v>
      </c>
      <c r="P12" s="8">
        <v>12.8</v>
      </c>
      <c r="Q12" s="8">
        <v>32.57</v>
      </c>
      <c r="R12" s="9">
        <v>7</v>
      </c>
      <c r="S12" s="9">
        <f t="shared" si="0"/>
        <v>87.149999999999991</v>
      </c>
    </row>
    <row r="13" spans="1:19" x14ac:dyDescent="0.25">
      <c r="A13" s="6" t="s">
        <v>0</v>
      </c>
      <c r="B13" s="7">
        <v>6935</v>
      </c>
      <c r="C13" s="7">
        <v>48172</v>
      </c>
      <c r="D13" s="7">
        <v>68861</v>
      </c>
      <c r="E13" s="6" t="s">
        <v>5</v>
      </c>
      <c r="F13" s="6">
        <v>24138265</v>
      </c>
      <c r="G13" s="6" t="s">
        <v>33</v>
      </c>
      <c r="H13" s="6" t="s">
        <v>6</v>
      </c>
      <c r="I13" s="6" t="s">
        <v>7</v>
      </c>
      <c r="J13" s="6" t="s">
        <v>4</v>
      </c>
      <c r="K13" s="6" t="s">
        <v>4</v>
      </c>
      <c r="L13" s="7">
        <v>88</v>
      </c>
      <c r="M13" s="7">
        <v>220</v>
      </c>
      <c r="N13" s="7">
        <v>1</v>
      </c>
      <c r="O13" s="6">
        <v>18.399999999999999</v>
      </c>
      <c r="P13" s="8">
        <v>18.75</v>
      </c>
      <c r="Q13" s="8">
        <v>48.14</v>
      </c>
      <c r="R13" s="9">
        <v>7</v>
      </c>
      <c r="S13" s="9">
        <f t="shared" si="0"/>
        <v>128.79999999999998</v>
      </c>
    </row>
    <row r="14" spans="1:19" x14ac:dyDescent="0.25">
      <c r="A14" s="6" t="s">
        <v>0</v>
      </c>
      <c r="B14" s="7">
        <v>6935</v>
      </c>
      <c r="C14" s="7">
        <v>48172</v>
      </c>
      <c r="D14" s="7">
        <v>68861</v>
      </c>
      <c r="E14" s="6" t="s">
        <v>5</v>
      </c>
      <c r="F14" s="6">
        <v>24138266</v>
      </c>
      <c r="G14" s="6" t="s">
        <v>33</v>
      </c>
      <c r="H14" s="6" t="s">
        <v>6</v>
      </c>
      <c r="I14" s="6" t="s">
        <v>7</v>
      </c>
      <c r="J14" s="6" t="s">
        <v>4</v>
      </c>
      <c r="K14" s="6" t="s">
        <v>4</v>
      </c>
      <c r="L14" s="7">
        <v>88</v>
      </c>
      <c r="M14" s="7">
        <v>220</v>
      </c>
      <c r="N14" s="7">
        <v>1</v>
      </c>
      <c r="O14" s="6">
        <v>20.55</v>
      </c>
      <c r="P14" s="8">
        <v>20.9</v>
      </c>
      <c r="Q14" s="8">
        <v>53.77</v>
      </c>
      <c r="R14" s="9">
        <v>7</v>
      </c>
      <c r="S14" s="9">
        <f t="shared" si="0"/>
        <v>143.85</v>
      </c>
    </row>
    <row r="15" spans="1:19" x14ac:dyDescent="0.25">
      <c r="A15" s="6" t="s">
        <v>0</v>
      </c>
      <c r="B15" s="7">
        <v>6935</v>
      </c>
      <c r="C15" s="7">
        <v>48172</v>
      </c>
      <c r="D15" s="7">
        <v>68861</v>
      </c>
      <c r="E15" s="6" t="s">
        <v>5</v>
      </c>
      <c r="F15" s="6">
        <v>24138267</v>
      </c>
      <c r="G15" s="6" t="s">
        <v>33</v>
      </c>
      <c r="H15" s="6" t="s">
        <v>6</v>
      </c>
      <c r="I15" s="6" t="s">
        <v>7</v>
      </c>
      <c r="J15" s="6" t="s">
        <v>4</v>
      </c>
      <c r="K15" s="6" t="s">
        <v>4</v>
      </c>
      <c r="L15" s="7">
        <v>88</v>
      </c>
      <c r="M15" s="7">
        <v>220</v>
      </c>
      <c r="N15" s="7">
        <v>1</v>
      </c>
      <c r="O15" s="6">
        <v>25.05</v>
      </c>
      <c r="P15" s="8">
        <v>25.4</v>
      </c>
      <c r="Q15" s="8">
        <v>65.540000000000006</v>
      </c>
      <c r="R15" s="9">
        <v>7</v>
      </c>
      <c r="S15" s="9">
        <f t="shared" si="0"/>
        <v>175.35</v>
      </c>
    </row>
    <row r="16" spans="1:19" x14ac:dyDescent="0.25">
      <c r="A16" s="6" t="s">
        <v>0</v>
      </c>
      <c r="B16" s="7">
        <v>6935</v>
      </c>
      <c r="C16" s="7">
        <v>48172</v>
      </c>
      <c r="D16" s="7">
        <v>68861</v>
      </c>
      <c r="E16" s="6" t="s">
        <v>5</v>
      </c>
      <c r="F16" s="6">
        <v>24138264</v>
      </c>
      <c r="G16" s="6" t="s">
        <v>33</v>
      </c>
      <c r="H16" s="6" t="s">
        <v>6</v>
      </c>
      <c r="I16" s="6" t="s">
        <v>7</v>
      </c>
      <c r="J16" s="6" t="s">
        <v>4</v>
      </c>
      <c r="K16" s="6" t="s">
        <v>4</v>
      </c>
      <c r="L16" s="7">
        <v>88</v>
      </c>
      <c r="M16" s="7">
        <v>220</v>
      </c>
      <c r="N16" s="7">
        <v>1</v>
      </c>
      <c r="O16" s="6">
        <v>23.15</v>
      </c>
      <c r="P16" s="8">
        <v>23.5</v>
      </c>
      <c r="Q16" s="8">
        <v>60.57</v>
      </c>
      <c r="R16" s="9">
        <v>7</v>
      </c>
      <c r="S16" s="9">
        <f t="shared" si="0"/>
        <v>162.04999999999998</v>
      </c>
    </row>
    <row r="17" spans="1:19" x14ac:dyDescent="0.25">
      <c r="A17" s="6" t="s">
        <v>0</v>
      </c>
      <c r="B17" s="7">
        <v>6935</v>
      </c>
      <c r="C17" s="7">
        <v>48171</v>
      </c>
      <c r="D17" s="7">
        <v>68862</v>
      </c>
      <c r="E17" s="6" t="s">
        <v>8</v>
      </c>
      <c r="F17" s="6">
        <v>24138223</v>
      </c>
      <c r="G17" s="6" t="s">
        <v>33</v>
      </c>
      <c r="H17" s="6" t="s">
        <v>9</v>
      </c>
      <c r="I17" s="6" t="s">
        <v>10</v>
      </c>
      <c r="J17" s="6" t="s">
        <v>4</v>
      </c>
      <c r="K17" s="6" t="s">
        <v>4</v>
      </c>
      <c r="L17" s="7">
        <v>88</v>
      </c>
      <c r="M17" s="7">
        <v>220</v>
      </c>
      <c r="N17" s="7">
        <v>1</v>
      </c>
      <c r="O17" s="6">
        <v>20.5</v>
      </c>
      <c r="P17" s="8">
        <v>20.85</v>
      </c>
      <c r="Q17" s="8">
        <v>53.64</v>
      </c>
      <c r="R17" s="9">
        <v>7</v>
      </c>
      <c r="S17" s="9">
        <f t="shared" si="0"/>
        <v>143.5</v>
      </c>
    </row>
    <row r="18" spans="1:19" x14ac:dyDescent="0.25">
      <c r="A18" s="6" t="s">
        <v>0</v>
      </c>
      <c r="B18" s="7">
        <v>6935</v>
      </c>
      <c r="C18" s="7">
        <v>48171</v>
      </c>
      <c r="D18" s="7">
        <v>68862</v>
      </c>
      <c r="E18" s="6" t="s">
        <v>8</v>
      </c>
      <c r="F18" s="6">
        <v>24138224</v>
      </c>
      <c r="G18" s="6" t="s">
        <v>33</v>
      </c>
      <c r="H18" s="6" t="s">
        <v>9</v>
      </c>
      <c r="I18" s="6" t="s">
        <v>10</v>
      </c>
      <c r="J18" s="6" t="s">
        <v>4</v>
      </c>
      <c r="K18" s="6" t="s">
        <v>4</v>
      </c>
      <c r="L18" s="7">
        <v>88</v>
      </c>
      <c r="M18" s="7">
        <v>220</v>
      </c>
      <c r="N18" s="7">
        <v>1</v>
      </c>
      <c r="O18" s="6">
        <v>20.75</v>
      </c>
      <c r="P18" s="8">
        <v>21.1</v>
      </c>
      <c r="Q18" s="8">
        <v>54.29</v>
      </c>
      <c r="R18" s="9">
        <v>7</v>
      </c>
      <c r="S18" s="9">
        <f t="shared" si="0"/>
        <v>145.25</v>
      </c>
    </row>
    <row r="19" spans="1:19" x14ac:dyDescent="0.25">
      <c r="A19" s="6" t="s">
        <v>0</v>
      </c>
      <c r="B19" s="7">
        <v>6935</v>
      </c>
      <c r="C19" s="7">
        <v>48171</v>
      </c>
      <c r="D19" s="7">
        <v>68862</v>
      </c>
      <c r="E19" s="6" t="s">
        <v>8</v>
      </c>
      <c r="F19" s="6">
        <v>24138225</v>
      </c>
      <c r="G19" s="6" t="s">
        <v>33</v>
      </c>
      <c r="H19" s="6" t="s">
        <v>9</v>
      </c>
      <c r="I19" s="6" t="s">
        <v>10</v>
      </c>
      <c r="J19" s="6" t="s">
        <v>4</v>
      </c>
      <c r="K19" s="6" t="s">
        <v>4</v>
      </c>
      <c r="L19" s="7">
        <v>88</v>
      </c>
      <c r="M19" s="7">
        <v>220</v>
      </c>
      <c r="N19" s="7">
        <v>1</v>
      </c>
      <c r="O19" s="6">
        <v>20.5</v>
      </c>
      <c r="P19" s="8">
        <v>20.85</v>
      </c>
      <c r="Q19" s="8">
        <v>53.64</v>
      </c>
      <c r="R19" s="9">
        <v>7</v>
      </c>
      <c r="S19" s="9">
        <f t="shared" si="0"/>
        <v>143.5</v>
      </c>
    </row>
    <row r="20" spans="1:19" x14ac:dyDescent="0.25">
      <c r="A20" s="6" t="s">
        <v>0</v>
      </c>
      <c r="B20" s="7">
        <v>6935</v>
      </c>
      <c r="C20" s="7">
        <v>48171</v>
      </c>
      <c r="D20" s="7">
        <v>68862</v>
      </c>
      <c r="E20" s="6" t="s">
        <v>8</v>
      </c>
      <c r="F20" s="6">
        <v>24138226</v>
      </c>
      <c r="G20" s="6" t="s">
        <v>33</v>
      </c>
      <c r="H20" s="6" t="s">
        <v>9</v>
      </c>
      <c r="I20" s="6" t="s">
        <v>10</v>
      </c>
      <c r="J20" s="6" t="s">
        <v>4</v>
      </c>
      <c r="K20" s="6" t="s">
        <v>4</v>
      </c>
      <c r="L20" s="7">
        <v>88</v>
      </c>
      <c r="M20" s="7">
        <v>220</v>
      </c>
      <c r="N20" s="7">
        <v>1</v>
      </c>
      <c r="O20" s="6">
        <v>19.899999999999999</v>
      </c>
      <c r="P20" s="8">
        <v>20.25</v>
      </c>
      <c r="Q20" s="8">
        <v>52.07</v>
      </c>
      <c r="R20" s="9">
        <v>7</v>
      </c>
      <c r="S20" s="9">
        <f t="shared" si="0"/>
        <v>139.29999999999998</v>
      </c>
    </row>
    <row r="21" spans="1:19" x14ac:dyDescent="0.25">
      <c r="A21" s="6" t="s">
        <v>0</v>
      </c>
      <c r="B21" s="7">
        <v>6935</v>
      </c>
      <c r="C21" s="7">
        <v>48171</v>
      </c>
      <c r="D21" s="7">
        <v>68862</v>
      </c>
      <c r="E21" s="6" t="s">
        <v>8</v>
      </c>
      <c r="F21" s="6">
        <v>24138228</v>
      </c>
      <c r="G21" s="6" t="s">
        <v>33</v>
      </c>
      <c r="H21" s="6" t="s">
        <v>9</v>
      </c>
      <c r="I21" s="6" t="s">
        <v>10</v>
      </c>
      <c r="J21" s="6" t="s">
        <v>4</v>
      </c>
      <c r="K21" s="6" t="s">
        <v>4</v>
      </c>
      <c r="L21" s="7">
        <v>88</v>
      </c>
      <c r="M21" s="7">
        <v>220</v>
      </c>
      <c r="N21" s="7">
        <v>1</v>
      </c>
      <c r="O21" s="6">
        <v>15.15</v>
      </c>
      <c r="P21" s="8">
        <v>15.5</v>
      </c>
      <c r="Q21" s="8">
        <v>39.64</v>
      </c>
      <c r="R21" s="9">
        <v>7</v>
      </c>
      <c r="S21" s="9">
        <f t="shared" si="0"/>
        <v>106.05</v>
      </c>
    </row>
    <row r="22" spans="1:19" x14ac:dyDescent="0.25">
      <c r="A22" s="6" t="s">
        <v>0</v>
      </c>
      <c r="B22" s="7">
        <v>6935</v>
      </c>
      <c r="C22" s="7">
        <v>48171</v>
      </c>
      <c r="D22" s="7">
        <v>68862</v>
      </c>
      <c r="E22" s="6" t="s">
        <v>8</v>
      </c>
      <c r="F22" s="6">
        <v>24138229</v>
      </c>
      <c r="G22" s="6" t="s">
        <v>33</v>
      </c>
      <c r="H22" s="6" t="s">
        <v>9</v>
      </c>
      <c r="I22" s="6" t="s">
        <v>10</v>
      </c>
      <c r="J22" s="6" t="s">
        <v>4</v>
      </c>
      <c r="K22" s="6" t="s">
        <v>4</v>
      </c>
      <c r="L22" s="7">
        <v>88</v>
      </c>
      <c r="M22" s="7">
        <v>220</v>
      </c>
      <c r="N22" s="7">
        <v>1</v>
      </c>
      <c r="O22" s="6">
        <v>20.7</v>
      </c>
      <c r="P22" s="8">
        <v>21.05</v>
      </c>
      <c r="Q22" s="8">
        <v>54.16</v>
      </c>
      <c r="R22" s="9">
        <v>7</v>
      </c>
      <c r="S22" s="9">
        <f t="shared" si="0"/>
        <v>144.9</v>
      </c>
    </row>
    <row r="23" spans="1:19" x14ac:dyDescent="0.25">
      <c r="A23" s="6" t="s">
        <v>0</v>
      </c>
      <c r="B23" s="7">
        <v>6935</v>
      </c>
      <c r="C23" s="7">
        <v>48171</v>
      </c>
      <c r="D23" s="7">
        <v>68862</v>
      </c>
      <c r="E23" s="6" t="s">
        <v>8</v>
      </c>
      <c r="F23" s="6">
        <v>24138230</v>
      </c>
      <c r="G23" s="6" t="s">
        <v>33</v>
      </c>
      <c r="H23" s="6" t="s">
        <v>9</v>
      </c>
      <c r="I23" s="6" t="s">
        <v>10</v>
      </c>
      <c r="J23" s="6" t="s">
        <v>4</v>
      </c>
      <c r="K23" s="6" t="s">
        <v>4</v>
      </c>
      <c r="L23" s="7">
        <v>88</v>
      </c>
      <c r="M23" s="7">
        <v>220</v>
      </c>
      <c r="N23" s="7">
        <v>1</v>
      </c>
      <c r="O23" s="6">
        <v>20.2</v>
      </c>
      <c r="P23" s="8">
        <v>20.55</v>
      </c>
      <c r="Q23" s="8">
        <v>52.85</v>
      </c>
      <c r="R23" s="9">
        <v>7</v>
      </c>
      <c r="S23" s="9">
        <f t="shared" si="0"/>
        <v>141.4</v>
      </c>
    </row>
    <row r="24" spans="1:19" x14ac:dyDescent="0.25">
      <c r="A24" s="6" t="s">
        <v>0</v>
      </c>
      <c r="B24" s="7">
        <v>6935</v>
      </c>
      <c r="C24" s="7">
        <v>48171</v>
      </c>
      <c r="D24" s="7">
        <v>68862</v>
      </c>
      <c r="E24" s="6" t="s">
        <v>8</v>
      </c>
      <c r="F24" s="6">
        <v>24138227</v>
      </c>
      <c r="G24" s="6" t="s">
        <v>33</v>
      </c>
      <c r="H24" s="6" t="s">
        <v>9</v>
      </c>
      <c r="I24" s="6" t="s">
        <v>10</v>
      </c>
      <c r="J24" s="6" t="s">
        <v>4</v>
      </c>
      <c r="K24" s="6" t="s">
        <v>4</v>
      </c>
      <c r="L24" s="7">
        <v>88</v>
      </c>
      <c r="M24" s="7">
        <v>220</v>
      </c>
      <c r="N24" s="7">
        <v>1</v>
      </c>
      <c r="O24" s="6">
        <v>20.6</v>
      </c>
      <c r="P24" s="8">
        <v>20.95</v>
      </c>
      <c r="Q24" s="8">
        <v>53.9</v>
      </c>
      <c r="R24" s="9">
        <v>7</v>
      </c>
      <c r="S24" s="9">
        <f t="shared" si="0"/>
        <v>144.20000000000002</v>
      </c>
    </row>
    <row r="25" spans="1:19" x14ac:dyDescent="0.25">
      <c r="A25" s="6" t="s">
        <v>0</v>
      </c>
      <c r="B25" s="7">
        <v>6935</v>
      </c>
      <c r="C25" s="7">
        <v>48170</v>
      </c>
      <c r="D25" s="7">
        <v>68863</v>
      </c>
      <c r="E25" s="6" t="s">
        <v>11</v>
      </c>
      <c r="F25" s="6">
        <v>24138210</v>
      </c>
      <c r="G25" s="6" t="s">
        <v>33</v>
      </c>
      <c r="H25" s="6" t="s">
        <v>12</v>
      </c>
      <c r="I25" s="6" t="s">
        <v>13</v>
      </c>
      <c r="J25" s="6" t="s">
        <v>4</v>
      </c>
      <c r="K25" s="6" t="s">
        <v>4</v>
      </c>
      <c r="L25" s="7">
        <v>88</v>
      </c>
      <c r="M25" s="7">
        <v>220</v>
      </c>
      <c r="N25" s="7">
        <v>1</v>
      </c>
      <c r="O25" s="6">
        <v>26.75</v>
      </c>
      <c r="P25" s="8">
        <v>27.1</v>
      </c>
      <c r="Q25" s="8">
        <v>69.989999999999995</v>
      </c>
      <c r="R25" s="9">
        <v>7</v>
      </c>
      <c r="S25" s="9">
        <f t="shared" si="0"/>
        <v>187.25</v>
      </c>
    </row>
    <row r="26" spans="1:19" x14ac:dyDescent="0.25">
      <c r="A26" s="6" t="s">
        <v>0</v>
      </c>
      <c r="B26" s="7">
        <v>6935</v>
      </c>
      <c r="C26" s="7">
        <v>48170</v>
      </c>
      <c r="D26" s="7">
        <v>68863</v>
      </c>
      <c r="E26" s="6" t="s">
        <v>11</v>
      </c>
      <c r="F26" s="6">
        <v>24138211</v>
      </c>
      <c r="G26" s="6" t="s">
        <v>33</v>
      </c>
      <c r="H26" s="6" t="s">
        <v>12</v>
      </c>
      <c r="I26" s="6" t="s">
        <v>13</v>
      </c>
      <c r="J26" s="6" t="s">
        <v>4</v>
      </c>
      <c r="K26" s="6" t="s">
        <v>4</v>
      </c>
      <c r="L26" s="7">
        <v>88</v>
      </c>
      <c r="M26" s="7">
        <v>220</v>
      </c>
      <c r="N26" s="7">
        <v>1</v>
      </c>
      <c r="O26" s="6">
        <v>24.7</v>
      </c>
      <c r="P26" s="8">
        <v>25.05</v>
      </c>
      <c r="Q26" s="8">
        <v>64.63</v>
      </c>
      <c r="R26" s="9">
        <v>7</v>
      </c>
      <c r="S26" s="9">
        <f t="shared" si="0"/>
        <v>172.9</v>
      </c>
    </row>
    <row r="27" spans="1:19" x14ac:dyDescent="0.25">
      <c r="A27" s="6" t="s">
        <v>0</v>
      </c>
      <c r="B27" s="7">
        <v>6935</v>
      </c>
      <c r="C27" s="7">
        <v>48170</v>
      </c>
      <c r="D27" s="7">
        <v>68863</v>
      </c>
      <c r="E27" s="6" t="s">
        <v>11</v>
      </c>
      <c r="F27" s="6">
        <v>24138213</v>
      </c>
      <c r="G27" s="6" t="s">
        <v>33</v>
      </c>
      <c r="H27" s="6" t="s">
        <v>12</v>
      </c>
      <c r="I27" s="6" t="s">
        <v>13</v>
      </c>
      <c r="J27" s="6" t="s">
        <v>4</v>
      </c>
      <c r="K27" s="6" t="s">
        <v>4</v>
      </c>
      <c r="L27" s="7">
        <v>88</v>
      </c>
      <c r="M27" s="7">
        <v>220</v>
      </c>
      <c r="N27" s="7">
        <v>1</v>
      </c>
      <c r="O27" s="6">
        <v>25.8</v>
      </c>
      <c r="P27" s="8">
        <v>26.15</v>
      </c>
      <c r="Q27" s="8">
        <v>67.5</v>
      </c>
      <c r="R27" s="9">
        <v>7</v>
      </c>
      <c r="S27" s="9">
        <f t="shared" si="0"/>
        <v>180.6</v>
      </c>
    </row>
    <row r="28" spans="1:19" x14ac:dyDescent="0.25">
      <c r="A28" s="6" t="s">
        <v>0</v>
      </c>
      <c r="B28" s="7">
        <v>6935</v>
      </c>
      <c r="C28" s="7">
        <v>48170</v>
      </c>
      <c r="D28" s="7">
        <v>68863</v>
      </c>
      <c r="E28" s="6" t="s">
        <v>11</v>
      </c>
      <c r="F28" s="6">
        <v>24138214</v>
      </c>
      <c r="G28" s="6" t="s">
        <v>33</v>
      </c>
      <c r="H28" s="6" t="s">
        <v>12</v>
      </c>
      <c r="I28" s="6" t="s">
        <v>13</v>
      </c>
      <c r="J28" s="6" t="s">
        <v>4</v>
      </c>
      <c r="K28" s="6" t="s">
        <v>4</v>
      </c>
      <c r="L28" s="7">
        <v>88</v>
      </c>
      <c r="M28" s="7">
        <v>220</v>
      </c>
      <c r="N28" s="7">
        <v>1</v>
      </c>
      <c r="O28" s="6">
        <v>26.8</v>
      </c>
      <c r="P28" s="8">
        <v>27.15</v>
      </c>
      <c r="Q28" s="8">
        <v>70.12</v>
      </c>
      <c r="R28" s="9">
        <v>7</v>
      </c>
      <c r="S28" s="9">
        <f t="shared" si="0"/>
        <v>187.6</v>
      </c>
    </row>
    <row r="29" spans="1:19" x14ac:dyDescent="0.25">
      <c r="A29" s="6" t="s">
        <v>0</v>
      </c>
      <c r="B29" s="7">
        <v>6935</v>
      </c>
      <c r="C29" s="7">
        <v>48170</v>
      </c>
      <c r="D29" s="7">
        <v>68863</v>
      </c>
      <c r="E29" s="6" t="s">
        <v>11</v>
      </c>
      <c r="F29" s="6">
        <v>24138215</v>
      </c>
      <c r="G29" s="6" t="s">
        <v>33</v>
      </c>
      <c r="H29" s="6" t="s">
        <v>12</v>
      </c>
      <c r="I29" s="6" t="s">
        <v>13</v>
      </c>
      <c r="J29" s="6" t="s">
        <v>4</v>
      </c>
      <c r="K29" s="6" t="s">
        <v>4</v>
      </c>
      <c r="L29" s="7">
        <v>88</v>
      </c>
      <c r="M29" s="7">
        <v>220</v>
      </c>
      <c r="N29" s="7">
        <v>1</v>
      </c>
      <c r="O29" s="6">
        <v>17.75</v>
      </c>
      <c r="P29" s="8">
        <v>18.100000000000001</v>
      </c>
      <c r="Q29" s="8">
        <v>46.44</v>
      </c>
      <c r="R29" s="9">
        <v>7</v>
      </c>
      <c r="S29" s="9">
        <f t="shared" si="0"/>
        <v>124.25</v>
      </c>
    </row>
    <row r="30" spans="1:19" x14ac:dyDescent="0.25">
      <c r="A30" s="6" t="s">
        <v>0</v>
      </c>
      <c r="B30" s="7">
        <v>6935</v>
      </c>
      <c r="C30" s="7">
        <v>48170</v>
      </c>
      <c r="D30" s="7">
        <v>68863</v>
      </c>
      <c r="E30" s="6" t="s">
        <v>11</v>
      </c>
      <c r="F30" s="6">
        <v>24138216</v>
      </c>
      <c r="G30" s="6" t="s">
        <v>33</v>
      </c>
      <c r="H30" s="6" t="s">
        <v>12</v>
      </c>
      <c r="I30" s="6" t="s">
        <v>13</v>
      </c>
      <c r="J30" s="6" t="s">
        <v>4</v>
      </c>
      <c r="K30" s="6" t="s">
        <v>4</v>
      </c>
      <c r="L30" s="7">
        <v>88</v>
      </c>
      <c r="M30" s="7">
        <v>220</v>
      </c>
      <c r="N30" s="7">
        <v>1</v>
      </c>
      <c r="O30" s="6">
        <v>17.100000000000001</v>
      </c>
      <c r="P30" s="8">
        <v>17.45</v>
      </c>
      <c r="Q30" s="8">
        <v>44.74</v>
      </c>
      <c r="R30" s="9">
        <v>7</v>
      </c>
      <c r="S30" s="9">
        <f t="shared" si="0"/>
        <v>119.70000000000002</v>
      </c>
    </row>
    <row r="31" spans="1:19" x14ac:dyDescent="0.25">
      <c r="A31" s="6" t="s">
        <v>0</v>
      </c>
      <c r="B31" s="7">
        <v>6935</v>
      </c>
      <c r="C31" s="7">
        <v>48170</v>
      </c>
      <c r="D31" s="7">
        <v>68863</v>
      </c>
      <c r="E31" s="6" t="s">
        <v>11</v>
      </c>
      <c r="F31" s="6">
        <v>24138209</v>
      </c>
      <c r="G31" s="6" t="s">
        <v>33</v>
      </c>
      <c r="H31" s="6" t="s">
        <v>12</v>
      </c>
      <c r="I31" s="6" t="s">
        <v>13</v>
      </c>
      <c r="J31" s="6" t="s">
        <v>4</v>
      </c>
      <c r="K31" s="6" t="s">
        <v>4</v>
      </c>
      <c r="L31" s="7">
        <v>88</v>
      </c>
      <c r="M31" s="7">
        <v>220</v>
      </c>
      <c r="N31" s="7">
        <v>1</v>
      </c>
      <c r="O31" s="6">
        <v>18.05</v>
      </c>
      <c r="P31" s="8">
        <v>18.399999999999999</v>
      </c>
      <c r="Q31" s="8">
        <v>47.23</v>
      </c>
      <c r="R31" s="9">
        <v>7</v>
      </c>
      <c r="S31" s="9">
        <f t="shared" si="0"/>
        <v>126.35000000000001</v>
      </c>
    </row>
    <row r="32" spans="1:19" x14ac:dyDescent="0.25">
      <c r="A32" s="6" t="s">
        <v>0</v>
      </c>
      <c r="B32" s="7">
        <v>7056</v>
      </c>
      <c r="C32" s="7">
        <v>49016</v>
      </c>
      <c r="D32" s="7">
        <v>70388</v>
      </c>
      <c r="E32" s="6" t="s">
        <v>14</v>
      </c>
      <c r="F32" s="6">
        <v>24152346</v>
      </c>
      <c r="G32" s="6" t="s">
        <v>34</v>
      </c>
      <c r="H32" s="6" t="s">
        <v>2</v>
      </c>
      <c r="I32" s="6" t="s">
        <v>3</v>
      </c>
      <c r="J32" s="6" t="s">
        <v>15</v>
      </c>
      <c r="K32" s="6" t="s">
        <v>16</v>
      </c>
      <c r="L32" s="7">
        <v>175</v>
      </c>
      <c r="M32" s="7">
        <v>220</v>
      </c>
      <c r="N32" s="7">
        <v>1</v>
      </c>
      <c r="O32" s="6">
        <v>20.149999999999999</v>
      </c>
      <c r="P32" s="8">
        <v>20.8</v>
      </c>
      <c r="Q32" s="8">
        <v>51.69</v>
      </c>
      <c r="R32" s="9">
        <v>7.5</v>
      </c>
      <c r="S32" s="9">
        <f t="shared" si="0"/>
        <v>151.125</v>
      </c>
    </row>
    <row r="33" spans="1:19" x14ac:dyDescent="0.25">
      <c r="A33" s="6" t="s">
        <v>0</v>
      </c>
      <c r="B33" s="7">
        <v>7056</v>
      </c>
      <c r="C33" s="7">
        <v>49016</v>
      </c>
      <c r="D33" s="7">
        <v>70388</v>
      </c>
      <c r="E33" s="6" t="s">
        <v>14</v>
      </c>
      <c r="F33" s="6">
        <v>24152347</v>
      </c>
      <c r="G33" s="6" t="s">
        <v>34</v>
      </c>
      <c r="H33" s="6" t="s">
        <v>2</v>
      </c>
      <c r="I33" s="6" t="s">
        <v>3</v>
      </c>
      <c r="J33" s="6" t="s">
        <v>15</v>
      </c>
      <c r="K33" s="6" t="s">
        <v>16</v>
      </c>
      <c r="L33" s="7">
        <v>175</v>
      </c>
      <c r="M33" s="7">
        <v>220</v>
      </c>
      <c r="N33" s="7">
        <v>1</v>
      </c>
      <c r="O33" s="6">
        <v>20.85</v>
      </c>
      <c r="P33" s="8">
        <v>21.5</v>
      </c>
      <c r="Q33" s="8">
        <v>53.49</v>
      </c>
      <c r="R33" s="9">
        <v>7.5</v>
      </c>
      <c r="S33" s="9">
        <f t="shared" si="0"/>
        <v>156.375</v>
      </c>
    </row>
    <row r="34" spans="1:19" x14ac:dyDescent="0.25">
      <c r="A34" s="6" t="s">
        <v>0</v>
      </c>
      <c r="B34" s="7">
        <v>7056</v>
      </c>
      <c r="C34" s="7">
        <v>49016</v>
      </c>
      <c r="D34" s="7">
        <v>70388</v>
      </c>
      <c r="E34" s="6" t="s">
        <v>14</v>
      </c>
      <c r="F34" s="6">
        <v>24152352</v>
      </c>
      <c r="G34" s="6" t="s">
        <v>34</v>
      </c>
      <c r="H34" s="6" t="s">
        <v>2</v>
      </c>
      <c r="I34" s="6" t="s">
        <v>3</v>
      </c>
      <c r="J34" s="6" t="s">
        <v>15</v>
      </c>
      <c r="K34" s="6" t="s">
        <v>16</v>
      </c>
      <c r="L34" s="7">
        <v>175</v>
      </c>
      <c r="M34" s="7">
        <v>220</v>
      </c>
      <c r="N34" s="7">
        <v>1</v>
      </c>
      <c r="O34" s="6">
        <v>20.95</v>
      </c>
      <c r="P34" s="8">
        <v>21.6</v>
      </c>
      <c r="Q34" s="8">
        <v>53.74</v>
      </c>
      <c r="R34" s="9">
        <v>7.5</v>
      </c>
      <c r="S34" s="9">
        <f t="shared" si="0"/>
        <v>157.125</v>
      </c>
    </row>
    <row r="35" spans="1:19" x14ac:dyDescent="0.25">
      <c r="A35" s="6" t="s">
        <v>0</v>
      </c>
      <c r="B35" s="7">
        <v>7056</v>
      </c>
      <c r="C35" s="7">
        <v>49016</v>
      </c>
      <c r="D35" s="7">
        <v>70388</v>
      </c>
      <c r="E35" s="6" t="s">
        <v>14</v>
      </c>
      <c r="F35" s="6">
        <v>24152354</v>
      </c>
      <c r="G35" s="6" t="s">
        <v>34</v>
      </c>
      <c r="H35" s="6" t="s">
        <v>2</v>
      </c>
      <c r="I35" s="6" t="s">
        <v>3</v>
      </c>
      <c r="J35" s="6" t="s">
        <v>15</v>
      </c>
      <c r="K35" s="6" t="s">
        <v>16</v>
      </c>
      <c r="L35" s="7">
        <v>175</v>
      </c>
      <c r="M35" s="7">
        <v>220</v>
      </c>
      <c r="N35" s="7">
        <v>1</v>
      </c>
      <c r="O35" s="6">
        <v>20.85</v>
      </c>
      <c r="P35" s="8">
        <v>21.5</v>
      </c>
      <c r="Q35" s="8">
        <v>53.49</v>
      </c>
      <c r="R35" s="9">
        <v>7.5</v>
      </c>
      <c r="S35" s="9">
        <f t="shared" si="0"/>
        <v>156.375</v>
      </c>
    </row>
    <row r="36" spans="1:19" x14ac:dyDescent="0.25">
      <c r="A36" s="6" t="s">
        <v>0</v>
      </c>
      <c r="B36" s="7">
        <v>7056</v>
      </c>
      <c r="C36" s="7">
        <v>49016</v>
      </c>
      <c r="D36" s="7">
        <v>70388</v>
      </c>
      <c r="E36" s="6" t="s">
        <v>14</v>
      </c>
      <c r="F36" s="6">
        <v>24152379</v>
      </c>
      <c r="G36" s="6" t="s">
        <v>34</v>
      </c>
      <c r="H36" s="6" t="s">
        <v>2</v>
      </c>
      <c r="I36" s="6" t="s">
        <v>3</v>
      </c>
      <c r="J36" s="6" t="s">
        <v>15</v>
      </c>
      <c r="K36" s="6" t="s">
        <v>16</v>
      </c>
      <c r="L36" s="7">
        <v>175</v>
      </c>
      <c r="M36" s="7">
        <v>220</v>
      </c>
      <c r="N36" s="7">
        <v>1</v>
      </c>
      <c r="O36" s="6">
        <v>20.95</v>
      </c>
      <c r="P36" s="8">
        <v>21.6</v>
      </c>
      <c r="Q36" s="8">
        <v>53.74</v>
      </c>
      <c r="R36" s="9">
        <v>7.5</v>
      </c>
      <c r="S36" s="9">
        <f t="shared" si="0"/>
        <v>157.125</v>
      </c>
    </row>
    <row r="37" spans="1:19" x14ac:dyDescent="0.25">
      <c r="A37" s="6" t="s">
        <v>0</v>
      </c>
      <c r="B37" s="7">
        <v>7056</v>
      </c>
      <c r="C37" s="7">
        <v>49016</v>
      </c>
      <c r="D37" s="7">
        <v>70388</v>
      </c>
      <c r="E37" s="6" t="s">
        <v>14</v>
      </c>
      <c r="F37" s="6">
        <v>24152350</v>
      </c>
      <c r="G37" s="6" t="s">
        <v>34</v>
      </c>
      <c r="H37" s="6" t="s">
        <v>2</v>
      </c>
      <c r="I37" s="6" t="s">
        <v>3</v>
      </c>
      <c r="J37" s="6" t="s">
        <v>15</v>
      </c>
      <c r="K37" s="6" t="s">
        <v>16</v>
      </c>
      <c r="L37" s="7">
        <v>175</v>
      </c>
      <c r="M37" s="7">
        <v>220</v>
      </c>
      <c r="N37" s="7">
        <v>1</v>
      </c>
      <c r="O37" s="6">
        <v>20.85</v>
      </c>
      <c r="P37" s="8">
        <v>21.5</v>
      </c>
      <c r="Q37" s="8">
        <v>53.49</v>
      </c>
      <c r="R37" s="9">
        <v>7.5</v>
      </c>
      <c r="S37" s="9">
        <f t="shared" si="0"/>
        <v>156.375</v>
      </c>
    </row>
    <row r="38" spans="1:19" x14ac:dyDescent="0.25">
      <c r="A38" s="6" t="s">
        <v>0</v>
      </c>
      <c r="B38" s="7">
        <v>7056</v>
      </c>
      <c r="C38" s="7">
        <v>49016</v>
      </c>
      <c r="D38" s="7">
        <v>70388</v>
      </c>
      <c r="E38" s="6" t="s">
        <v>14</v>
      </c>
      <c r="F38" s="6">
        <v>24152356</v>
      </c>
      <c r="G38" s="6" t="s">
        <v>34</v>
      </c>
      <c r="H38" s="6" t="s">
        <v>2</v>
      </c>
      <c r="I38" s="6" t="s">
        <v>3</v>
      </c>
      <c r="J38" s="6" t="s">
        <v>15</v>
      </c>
      <c r="K38" s="6" t="s">
        <v>16</v>
      </c>
      <c r="L38" s="7">
        <v>175</v>
      </c>
      <c r="M38" s="7">
        <v>220</v>
      </c>
      <c r="N38" s="7">
        <v>1</v>
      </c>
      <c r="O38" s="6">
        <v>21.15</v>
      </c>
      <c r="P38" s="8">
        <v>21.8</v>
      </c>
      <c r="Q38" s="8">
        <v>54.26</v>
      </c>
      <c r="R38" s="9">
        <v>7.5</v>
      </c>
      <c r="S38" s="9">
        <f t="shared" si="0"/>
        <v>158.625</v>
      </c>
    </row>
    <row r="39" spans="1:19" x14ac:dyDescent="0.25">
      <c r="A39" s="6" t="s">
        <v>0</v>
      </c>
      <c r="B39" s="7">
        <v>7056</v>
      </c>
      <c r="C39" s="7">
        <v>49016</v>
      </c>
      <c r="D39" s="7">
        <v>70388</v>
      </c>
      <c r="E39" s="6" t="s">
        <v>14</v>
      </c>
      <c r="F39" s="6">
        <v>24151952</v>
      </c>
      <c r="G39" s="6" t="s">
        <v>34</v>
      </c>
      <c r="H39" s="6" t="s">
        <v>2</v>
      </c>
      <c r="I39" s="6" t="s">
        <v>3</v>
      </c>
      <c r="J39" s="6" t="s">
        <v>15</v>
      </c>
      <c r="K39" s="6" t="s">
        <v>16</v>
      </c>
      <c r="L39" s="7">
        <v>175</v>
      </c>
      <c r="M39" s="7">
        <v>220</v>
      </c>
      <c r="N39" s="7">
        <v>1</v>
      </c>
      <c r="O39" s="6">
        <v>27.85</v>
      </c>
      <c r="P39" s="8">
        <v>28.5</v>
      </c>
      <c r="Q39" s="8">
        <v>71.44</v>
      </c>
      <c r="R39" s="9">
        <v>7.5</v>
      </c>
      <c r="S39" s="9">
        <f t="shared" si="0"/>
        <v>208.875</v>
      </c>
    </row>
    <row r="40" spans="1:19" x14ac:dyDescent="0.25">
      <c r="A40" s="6" t="s">
        <v>0</v>
      </c>
      <c r="B40" s="7">
        <v>7056</v>
      </c>
      <c r="C40" s="7">
        <v>49015</v>
      </c>
      <c r="D40" s="7">
        <v>70387</v>
      </c>
      <c r="E40" s="6" t="s">
        <v>14</v>
      </c>
      <c r="F40" s="6">
        <v>24151953</v>
      </c>
      <c r="G40" s="6" t="s">
        <v>34</v>
      </c>
      <c r="H40" s="6" t="s">
        <v>2</v>
      </c>
      <c r="I40" s="6" t="s">
        <v>3</v>
      </c>
      <c r="J40" s="6" t="s">
        <v>15</v>
      </c>
      <c r="K40" s="6" t="s">
        <v>17</v>
      </c>
      <c r="L40" s="7">
        <v>175</v>
      </c>
      <c r="M40" s="7">
        <v>220</v>
      </c>
      <c r="N40" s="7">
        <v>1</v>
      </c>
      <c r="O40" s="6">
        <v>25.3</v>
      </c>
      <c r="P40" s="8">
        <v>25.95</v>
      </c>
      <c r="Q40" s="8">
        <v>62.26</v>
      </c>
      <c r="R40" s="9">
        <v>7.5</v>
      </c>
      <c r="S40" s="9">
        <f t="shared" si="0"/>
        <v>189.75</v>
      </c>
    </row>
    <row r="41" spans="1:19" x14ac:dyDescent="0.25">
      <c r="A41" s="6" t="s">
        <v>0</v>
      </c>
      <c r="B41" s="7">
        <v>7056</v>
      </c>
      <c r="C41" s="7">
        <v>49015</v>
      </c>
      <c r="D41" s="7">
        <v>70387</v>
      </c>
      <c r="E41" s="6" t="s">
        <v>14</v>
      </c>
      <c r="F41" s="6">
        <v>24151954</v>
      </c>
      <c r="G41" s="6" t="s">
        <v>34</v>
      </c>
      <c r="H41" s="6" t="s">
        <v>2</v>
      </c>
      <c r="I41" s="6" t="s">
        <v>3</v>
      </c>
      <c r="J41" s="6" t="s">
        <v>15</v>
      </c>
      <c r="K41" s="6" t="s">
        <v>17</v>
      </c>
      <c r="L41" s="7">
        <v>175</v>
      </c>
      <c r="M41" s="7">
        <v>220</v>
      </c>
      <c r="N41" s="7">
        <v>1</v>
      </c>
      <c r="O41" s="6">
        <v>22.35</v>
      </c>
      <c r="P41" s="8">
        <v>23</v>
      </c>
      <c r="Q41" s="8">
        <v>55</v>
      </c>
      <c r="R41" s="9">
        <v>7.5</v>
      </c>
      <c r="S41" s="9">
        <f t="shared" si="0"/>
        <v>167.625</v>
      </c>
    </row>
    <row r="42" spans="1:19" x14ac:dyDescent="0.25">
      <c r="A42" s="6" t="s">
        <v>0</v>
      </c>
      <c r="B42" s="7">
        <v>7056</v>
      </c>
      <c r="C42" s="7">
        <v>49015</v>
      </c>
      <c r="D42" s="7">
        <v>70387</v>
      </c>
      <c r="E42" s="6" t="s">
        <v>14</v>
      </c>
      <c r="F42" s="6">
        <v>24151956</v>
      </c>
      <c r="G42" s="6" t="s">
        <v>34</v>
      </c>
      <c r="H42" s="6" t="s">
        <v>2</v>
      </c>
      <c r="I42" s="6" t="s">
        <v>3</v>
      </c>
      <c r="J42" s="6" t="s">
        <v>15</v>
      </c>
      <c r="K42" s="6" t="s">
        <v>17</v>
      </c>
      <c r="L42" s="7">
        <v>175</v>
      </c>
      <c r="M42" s="7">
        <v>220</v>
      </c>
      <c r="N42" s="7">
        <v>1</v>
      </c>
      <c r="O42" s="6">
        <v>20.65</v>
      </c>
      <c r="P42" s="8">
        <v>21.3</v>
      </c>
      <c r="Q42" s="8">
        <v>50.82</v>
      </c>
      <c r="R42" s="9">
        <v>7.5</v>
      </c>
      <c r="S42" s="9">
        <f t="shared" si="0"/>
        <v>154.875</v>
      </c>
    </row>
    <row r="43" spans="1:19" x14ac:dyDescent="0.25">
      <c r="A43" s="6" t="s">
        <v>0</v>
      </c>
      <c r="B43" s="7">
        <v>7056</v>
      </c>
      <c r="C43" s="7">
        <v>49015</v>
      </c>
      <c r="D43" s="7">
        <v>70387</v>
      </c>
      <c r="E43" s="6" t="s">
        <v>14</v>
      </c>
      <c r="F43" s="6">
        <v>24151958</v>
      </c>
      <c r="G43" s="6" t="s">
        <v>34</v>
      </c>
      <c r="H43" s="6" t="s">
        <v>2</v>
      </c>
      <c r="I43" s="6" t="s">
        <v>3</v>
      </c>
      <c r="J43" s="6" t="s">
        <v>15</v>
      </c>
      <c r="K43" s="6" t="s">
        <v>17</v>
      </c>
      <c r="L43" s="7">
        <v>175</v>
      </c>
      <c r="M43" s="7">
        <v>220</v>
      </c>
      <c r="N43" s="7">
        <v>1</v>
      </c>
      <c r="O43" s="6">
        <v>20.55</v>
      </c>
      <c r="P43" s="8">
        <v>21.2</v>
      </c>
      <c r="Q43" s="8">
        <v>50.57</v>
      </c>
      <c r="R43" s="9">
        <v>7.5</v>
      </c>
      <c r="S43" s="9">
        <f t="shared" si="0"/>
        <v>154.125</v>
      </c>
    </row>
    <row r="44" spans="1:19" x14ac:dyDescent="0.25">
      <c r="A44" s="6" t="s">
        <v>0</v>
      </c>
      <c r="B44" s="7">
        <v>7056</v>
      </c>
      <c r="C44" s="7">
        <v>49015</v>
      </c>
      <c r="D44" s="7">
        <v>70387</v>
      </c>
      <c r="E44" s="6" t="s">
        <v>14</v>
      </c>
      <c r="F44" s="6">
        <v>24151959</v>
      </c>
      <c r="G44" s="6" t="s">
        <v>34</v>
      </c>
      <c r="H44" s="6" t="s">
        <v>2</v>
      </c>
      <c r="I44" s="6" t="s">
        <v>3</v>
      </c>
      <c r="J44" s="6" t="s">
        <v>15</v>
      </c>
      <c r="K44" s="6" t="s">
        <v>17</v>
      </c>
      <c r="L44" s="7">
        <v>175</v>
      </c>
      <c r="M44" s="7">
        <v>220</v>
      </c>
      <c r="N44" s="7">
        <v>1</v>
      </c>
      <c r="O44" s="6">
        <v>20.05</v>
      </c>
      <c r="P44" s="8">
        <v>20.7</v>
      </c>
      <c r="Q44" s="8">
        <v>49.34</v>
      </c>
      <c r="R44" s="9">
        <v>7.5</v>
      </c>
      <c r="S44" s="9">
        <f t="shared" si="0"/>
        <v>150.375</v>
      </c>
    </row>
    <row r="45" spans="1:19" x14ac:dyDescent="0.25">
      <c r="A45" s="6" t="s">
        <v>0</v>
      </c>
      <c r="B45" s="7">
        <v>7056</v>
      </c>
      <c r="C45" s="7">
        <v>49015</v>
      </c>
      <c r="D45" s="7">
        <v>70387</v>
      </c>
      <c r="E45" s="6" t="s">
        <v>14</v>
      </c>
      <c r="F45" s="6">
        <v>24151960</v>
      </c>
      <c r="G45" s="6" t="s">
        <v>34</v>
      </c>
      <c r="H45" s="6" t="s">
        <v>2</v>
      </c>
      <c r="I45" s="6" t="s">
        <v>3</v>
      </c>
      <c r="J45" s="6" t="s">
        <v>15</v>
      </c>
      <c r="K45" s="6" t="s">
        <v>17</v>
      </c>
      <c r="L45" s="7">
        <v>175</v>
      </c>
      <c r="M45" s="7">
        <v>220</v>
      </c>
      <c r="N45" s="7">
        <v>1</v>
      </c>
      <c r="O45" s="6">
        <v>19.55</v>
      </c>
      <c r="P45" s="8">
        <v>20.2</v>
      </c>
      <c r="Q45" s="8">
        <v>48.11</v>
      </c>
      <c r="R45" s="9">
        <v>7.5</v>
      </c>
      <c r="S45" s="9">
        <f t="shared" si="0"/>
        <v>146.625</v>
      </c>
    </row>
    <row r="46" spans="1:19" x14ac:dyDescent="0.25">
      <c r="A46" s="6" t="s">
        <v>0</v>
      </c>
      <c r="B46" s="7">
        <v>7056</v>
      </c>
      <c r="C46" s="7">
        <v>49015</v>
      </c>
      <c r="D46" s="7">
        <v>70387</v>
      </c>
      <c r="E46" s="6" t="s">
        <v>14</v>
      </c>
      <c r="F46" s="6">
        <v>24151955</v>
      </c>
      <c r="G46" s="6" t="s">
        <v>34</v>
      </c>
      <c r="H46" s="6" t="s">
        <v>2</v>
      </c>
      <c r="I46" s="6" t="s">
        <v>3</v>
      </c>
      <c r="J46" s="6" t="s">
        <v>15</v>
      </c>
      <c r="K46" s="6" t="s">
        <v>17</v>
      </c>
      <c r="L46" s="7">
        <v>175</v>
      </c>
      <c r="M46" s="7">
        <v>220</v>
      </c>
      <c r="N46" s="7">
        <v>1</v>
      </c>
      <c r="O46" s="6">
        <v>13.2</v>
      </c>
      <c r="P46" s="8">
        <v>13.85</v>
      </c>
      <c r="Q46" s="8">
        <v>32.49</v>
      </c>
      <c r="R46" s="9">
        <v>7.5</v>
      </c>
      <c r="S46" s="9">
        <f t="shared" si="0"/>
        <v>99</v>
      </c>
    </row>
    <row r="47" spans="1:19" x14ac:dyDescent="0.25">
      <c r="N47" s="11">
        <f>SUM(N2:N46)</f>
        <v>45</v>
      </c>
      <c r="O47" s="12">
        <f>SUBTOTAL(9,O2:O46)</f>
        <v>920.54999999999984</v>
      </c>
      <c r="P47" s="12">
        <f>SUBTOTAL(9,P2:P46)</f>
        <v>940.8000000000003</v>
      </c>
      <c r="Q47" s="12">
        <f>SUBTOTAL(9,Q2:Q46)</f>
        <v>2377.6700000000005</v>
      </c>
      <c r="S47" s="10">
        <f>SUM(S2:S46)</f>
        <v>6532.7</v>
      </c>
    </row>
  </sheetData>
  <pageMargins left="0.7" right="0.7" top="0.75" bottom="0.75" header="0.3" footer="0.3"/>
  <pageSetup fitToWidth="0" fitToHeight="0" orientation="portrait" r:id="rId1"/>
  <ignoredErrors>
    <ignoredError sqref="P47:R47 G47:M47 O2:R46 H2:M46 A2:E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Zeynep Tetik</cp:lastModifiedBy>
  <dcterms:created xsi:type="dcterms:W3CDTF">2024-09-04T06:46:43Z</dcterms:created>
  <dcterms:modified xsi:type="dcterms:W3CDTF">2024-09-24T07:59:11Z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