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ישוב נפח" sheetId="1" state="visible" r:id="rId1"/>
    <sheet xmlns:r="http://schemas.openxmlformats.org/officeDocument/2006/relationships" name="מחיר לקוב" sheetId="2" state="visible" r:id="rId2"/>
  </sheets>
  <definedNames>
    <definedName name="_xlnm._FilterDatabase" localSheetId="0" hidden="1">'חישוב נפח'!$A$17:$J$17</definedName>
    <definedName name="_xlnm.Print_Titles" localSheetId="0">'חישוב נפח'!$1:$2</definedName>
    <definedName name="_xlnm._FilterDatabase" localSheetId="1" hidden="1">'מחיר לקוב'!$A$4:$P$4</definedName>
    <definedName name="_xlnm.Print_Titles" localSheetId="1">'מחיר לקוב'!$1:$4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475569"/>
      <sz val="11"/>
    </font>
    <font>
      <name val="Calibri"/>
      <b val="1"/>
      <color rgb="001C1917"/>
      <sz val="10"/>
    </font>
    <font>
      <name val="Calibri"/>
      <color rgb="001C1917"/>
      <sz val="10"/>
    </font>
    <font>
      <name val="Calibri"/>
      <i val="1"/>
      <color rgb="0064748B"/>
      <sz val="9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EF6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0" fillId="2" borderId="0" pivotButton="0" quotePrefix="0" xfId="0"/>
    <xf numFmtId="0" fontId="2" fillId="3" borderId="0" applyAlignment="1" pivotButton="0" quotePrefix="0" xfId="0">
      <alignment horizontal="right" vertical="center" wrapText="1" readingOrder="2"/>
    </xf>
    <xf numFmtId="0" fontId="0" fillId="3" borderId="0" pivotButton="0" quotePrefix="0" xfId="0"/>
    <xf numFmtId="0" fontId="3" fillId="3" borderId="1" applyAlignment="1" pivotButton="0" quotePrefix="0" xfId="0">
      <alignment horizontal="right" vertical="center" wrapText="1" readingOrder="2"/>
    </xf>
    <xf numFmtId="0" fontId="0" fillId="3" borderId="1" pivotButton="0" quotePrefix="0" xfId="0"/>
    <xf numFmtId="0" fontId="4" fillId="0" borderId="1" applyAlignment="1" pivotButton="0" quotePrefix="0" xfId="0">
      <alignment horizontal="right" vertical="center" wrapText="1" readingOrder="2"/>
    </xf>
    <xf numFmtId="164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 readingOrder="2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 wrapText="1" readingOrder="2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wrapText="1" readingOrder="2"/>
    </xf>
    <xf numFmtId="0" fontId="0" fillId="5" borderId="0" pivotButton="0" quotePrefix="0" xfId="0"/>
    <xf numFmtId="0" fontId="3" fillId="6" borderId="1" applyAlignment="1" pivotButton="0" quotePrefix="0" xfId="0">
      <alignment horizontal="right" vertical="center" wrapText="1" readingOrder="2"/>
    </xf>
    <xf numFmtId="165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right" vertical="center" wrapText="1" readingOrder="2"/>
    </xf>
    <xf numFmtId="0" fontId="0" fillId="6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 readingOrder="2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right" vertical="center" wrapText="1" readingOrder="2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 wrapText="1" readingOrder="2"/>
    </xf>
    <xf numFmtId="165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 wrapText="1" readingOrder="2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 wrapText="1" readingOrder="2"/>
    </xf>
    <xf numFmtId="0" fontId="4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2" fontId="3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 wrapText="1" readingOrder="2"/>
    </xf>
    <xf numFmtId="166" fontId="4" fillId="7" borderId="1" applyAlignment="1" pivotButton="0" quotePrefix="0" xfId="0">
      <alignment horizontal="center" vertical="center"/>
    </xf>
    <xf numFmtId="4" fontId="3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center" vertical="center"/>
    </xf>
    <xf numFmtId="0" fontId="0" fillId="5" borderId="1" pivotButton="0" quotePrefix="0" xfId="0"/>
    <xf numFmtId="4" fontId="3" fillId="5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wrapText="1" readingOrder="2"/>
    </xf>
    <xf numFmtId="0" fontId="4" fillId="0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rightToLeft="1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12" customWidth="1" min="4" max="4"/>
    <col width="12" customWidth="1" min="5" max="5"/>
    <col width="28" customWidth="1" min="6" max="6"/>
    <col width="14" customWidth="1" min="7" max="7"/>
    <col width="14" customWidth="1" min="8" max="8"/>
    <col width="12" customWidth="1" min="9" max="9"/>
    <col width="42" customWidth="1" min="10" max="10"/>
  </cols>
  <sheetData>
    <row r="1" ht="28" customHeight="1">
      <c r="A1" s="1" t="inlineStr">
        <is>
          <t>חישוב נפח — אקספרסליין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6" customHeight="1">
      <c r="A2" s="3" t="inlineStr">
        <is>
          <t>מדידות בפועל: גליל design/פתוח 0.086 קוב; 7 גלילי RIB לבן טובולרי = 70×74×90 ס״מ; קרטון בגדים 60×40×40 ס״מ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הנחות מדידה</t>
        </is>
      </c>
      <c r="B4" s="6" t="n"/>
    </row>
    <row r="5">
      <c r="A5" s="7" t="inlineStr">
        <is>
          <t>קוב לגליל פתוח / design</t>
        </is>
      </c>
      <c r="B5" s="8" t="n">
        <v>0.08599999999999999</v>
      </c>
      <c r="C5" s="9" t="inlineStr">
        <is>
          <t>קוב</t>
        </is>
      </c>
      <c r="D5" s="10" t="inlineStr">
        <is>
          <t>25 גלילי אפריל + 17 גלילי design במאי</t>
        </is>
      </c>
    </row>
    <row r="6">
      <c r="A6" s="7" t="inlineStr">
        <is>
          <t>אורך חבילת 7 גלילי RIB לבן (מ׳)</t>
        </is>
      </c>
      <c r="B6" s="8" t="n">
        <v>0.7</v>
      </c>
      <c r="C6" s="9" t="inlineStr">
        <is>
          <t>מ׳</t>
        </is>
      </c>
      <c r="D6" s="10" t="inlineStr">
        <is>
          <t>מדידה ל-7 גלילים ביחד, לא לגליל בודד</t>
        </is>
      </c>
    </row>
    <row r="7">
      <c r="A7" s="7" t="inlineStr">
        <is>
          <t>רוחב חבילת 7 גלילי RIB לבן (מ׳)</t>
        </is>
      </c>
      <c r="B7" s="8" t="n">
        <v>0.74</v>
      </c>
      <c r="C7" s="9" t="inlineStr">
        <is>
          <t>מ׳</t>
        </is>
      </c>
      <c r="D7" s="10" t="inlineStr"/>
    </row>
    <row r="8">
      <c r="A8" s="7" t="inlineStr">
        <is>
          <t>גובה חבילת 7 גלילי RIB לבן (מ׳)</t>
        </is>
      </c>
      <c r="B8" s="8" t="n">
        <v>0.9</v>
      </c>
      <c r="C8" s="9" t="inlineStr">
        <is>
          <t>מ׳</t>
        </is>
      </c>
      <c r="D8" s="10" t="inlineStr"/>
    </row>
    <row r="9">
      <c r="A9" s="7" t="inlineStr">
        <is>
          <t>מספר גלילים במדידה</t>
        </is>
      </c>
      <c r="B9" s="11" t="n">
        <v>7</v>
      </c>
      <c r="C9" s="9" t="inlineStr">
        <is>
          <t>גלילים</t>
        </is>
      </c>
      <c r="D9" s="10" t="inlineStr"/>
    </row>
    <row r="10">
      <c r="A10" s="7" t="inlineStr">
        <is>
          <t>אורך קרטון בגדים (מ׳)</t>
        </is>
      </c>
      <c r="B10" s="8" t="n">
        <v>0.6</v>
      </c>
      <c r="C10" s="9" t="inlineStr">
        <is>
          <t>מ׳</t>
        </is>
      </c>
      <c r="D10" s="10" t="inlineStr">
        <is>
          <t>משלוח עומר 9.9.2026</t>
        </is>
      </c>
    </row>
    <row r="11">
      <c r="A11" s="7" t="inlineStr">
        <is>
          <t>רוחב קרטון בגדים (מ׳)</t>
        </is>
      </c>
      <c r="B11" s="8" t="n">
        <v>0.4</v>
      </c>
      <c r="C11" s="9" t="inlineStr">
        <is>
          <t>מ׳</t>
        </is>
      </c>
      <c r="D11" s="10" t="inlineStr"/>
    </row>
    <row r="12">
      <c r="A12" s="7" t="inlineStr">
        <is>
          <t>גובה קרטון בגדים (מ׳)</t>
        </is>
      </c>
      <c r="B12" s="8" t="n">
        <v>0.4</v>
      </c>
      <c r="C12" s="9" t="inlineStr">
        <is>
          <t>מ׳</t>
        </is>
      </c>
      <c r="D12" s="10" t="inlineStr"/>
    </row>
    <row r="13">
      <c r="A13" s="7" t="inlineStr">
        <is>
          <t>קוב ייחוס לבדים</t>
        </is>
      </c>
      <c r="B13" s="11" t="n">
        <v>280</v>
      </c>
      <c r="C13" s="9" t="inlineStr">
        <is>
          <t>$/קוב</t>
        </is>
      </c>
      <c r="D13" s="10" t="inlineStr">
        <is>
          <t>ממוצע אפריל 268 + מאי 289</t>
        </is>
      </c>
    </row>
    <row r="14">
      <c r="A14" s="12" t="inlineStr">
        <is>
          <t>נפח 7 גלילי RIB לבן</t>
        </is>
      </c>
      <c r="B14" s="13">
        <f>B6*B7*B8</f>
        <v/>
      </c>
      <c r="C14" s="14" t="inlineStr">
        <is>
          <t>קוב</t>
        </is>
      </c>
      <c r="D14" s="15" t="inlineStr">
        <is>
          <t>0.70 × 0.74 × 0.90</t>
        </is>
      </c>
      <c r="E14" s="16" t="n"/>
      <c r="F14" s="16" t="n"/>
      <c r="G14" s="16" t="n"/>
      <c r="H14" s="16" t="n"/>
      <c r="I14" s="16" t="n"/>
      <c r="J14" s="16" t="n"/>
    </row>
    <row r="15">
      <c r="A15" s="17" t="inlineStr">
        <is>
          <t>קוב לגליל RIB לבן טובולרי</t>
        </is>
      </c>
      <c r="B15" s="18">
        <f>B14/B9</f>
        <v/>
      </c>
      <c r="C15" s="19" t="inlineStr">
        <is>
          <t>קוב</t>
        </is>
      </c>
      <c r="D15" s="20" t="inlineStr">
        <is>
          <t>≈ 0.0666 קוב לגליל</t>
        </is>
      </c>
      <c r="E15" s="21" t="n"/>
      <c r="F15" s="21" t="n"/>
      <c r="G15" s="21" t="n"/>
      <c r="H15" s="21" t="n"/>
      <c r="I15" s="21" t="n"/>
      <c r="J15" s="21" t="n"/>
    </row>
    <row r="17" ht="28" customHeight="1">
      <c r="A17" s="22" t="inlineStr">
        <is>
          <t>תאריך</t>
        </is>
      </c>
      <c r="B17" s="22" t="inlineStr">
        <is>
          <t>משלוח</t>
        </is>
      </c>
      <c r="C17" s="22" t="inlineStr">
        <is>
          <t>פירוט</t>
        </is>
      </c>
      <c r="D17" s="22" t="inlineStr">
        <is>
          <t>כמות</t>
        </is>
      </c>
      <c r="E17" s="22" t="inlineStr">
        <is>
          <t>יחידה</t>
        </is>
      </c>
      <c r="F17" s="22" t="inlineStr">
        <is>
          <t>מידות / בסיס</t>
        </is>
      </c>
      <c r="G17" s="22" t="inlineStr">
        <is>
          <t>קוב ליחידה</t>
        </is>
      </c>
      <c r="H17" s="22" t="inlineStr">
        <is>
          <t>קוב סה״כ</t>
        </is>
      </c>
      <c r="I17" s="22" t="inlineStr">
        <is>
          <t>ק״ג</t>
        </is>
      </c>
      <c r="J17" s="22" t="inlineStr">
        <is>
          <t>הערות</t>
        </is>
      </c>
    </row>
    <row r="18">
      <c r="A18" s="9" t="inlineStr">
        <is>
          <t>2026-04-09</t>
        </is>
      </c>
      <c r="B18" s="7" t="inlineStr">
        <is>
          <t>בדים — גלילים פתוחים</t>
        </is>
      </c>
      <c r="C18" s="7" t="inlineStr">
        <is>
          <t>כל 25 הגלילים עם design / פתוחים</t>
        </is>
      </c>
      <c r="D18" s="23" t="n">
        <v>25</v>
      </c>
      <c r="E18" s="9" t="inlineStr">
        <is>
          <t>גליל</t>
        </is>
      </c>
      <c r="F18" s="7" t="inlineStr">
        <is>
          <t>0.086 קוב לגליל (מדידה)</t>
        </is>
      </c>
      <c r="G18" s="24">
        <f>B5</f>
        <v/>
      </c>
      <c r="H18" s="25">
        <f>D18*G18</f>
        <v/>
      </c>
      <c r="I18" s="23" t="n">
        <v>502</v>
      </c>
      <c r="J18" s="26" t="inlineStr">
        <is>
          <t>packing list 30.03.2026; בדרישה נרשם 9 קוב (=9 יחידות)</t>
        </is>
      </c>
    </row>
    <row r="19">
      <c r="A19" s="27" t="inlineStr">
        <is>
          <t>2026-05-10</t>
        </is>
      </c>
      <c r="B19" s="28" t="inlineStr">
        <is>
          <t>בדים — design</t>
        </is>
      </c>
      <c r="C19" s="28" t="inlineStr">
        <is>
          <t>הזמנות 97899 + 97898 (R-A1888)</t>
        </is>
      </c>
      <c r="D19" s="29" t="n">
        <v>17</v>
      </c>
      <c r="E19" s="27" t="inlineStr">
        <is>
          <t>גליל</t>
        </is>
      </c>
      <c r="F19" s="28" t="inlineStr">
        <is>
          <t>אותו נפח כמו גליל פתוח</t>
        </is>
      </c>
      <c r="G19" s="30">
        <f>B5</f>
        <v/>
      </c>
      <c r="H19" s="31">
        <f>D19*G19</f>
        <v/>
      </c>
      <c r="I19" s="29" t="n"/>
      <c r="J19" s="32" t="inlineStr">
        <is>
          <t>17 גלילים עם design מתוך 43</t>
        </is>
      </c>
    </row>
    <row r="20">
      <c r="A20" s="9" t="inlineStr">
        <is>
          <t>2026-05-10</t>
        </is>
      </c>
      <c r="B20" s="7" t="inlineStr">
        <is>
          <t>בדים — RIB לבן טובולרי</t>
        </is>
      </c>
      <c r="C20" s="7" t="inlineStr">
        <is>
          <t>הזמנה 98697; מדידה ל-7 גלילים מייצגים</t>
        </is>
      </c>
      <c r="D20" s="23" t="n">
        <v>26</v>
      </c>
      <c r="E20" s="9" t="inlineStr">
        <is>
          <t>גליל</t>
        </is>
      </c>
      <c r="F20" s="7" t="inlineStr">
        <is>
          <t>70×74×90 ס״מ ל-7 גלילים</t>
        </is>
      </c>
      <c r="G20" s="33">
        <f>B15</f>
        <v/>
      </c>
      <c r="H20" s="25">
        <f>D20*G20</f>
        <v/>
      </c>
      <c r="I20" s="23" t="n"/>
      <c r="J20" s="26" t="inlineStr">
        <is>
          <t>לא לגליל בודד — הנפח הוא ל-7 גלילים ביחד</t>
        </is>
      </c>
    </row>
    <row r="21">
      <c r="A21" s="14" t="inlineStr">
        <is>
          <t>2026-05-10</t>
        </is>
      </c>
      <c r="B21" s="12" t="inlineStr">
        <is>
          <t>סה״כ משלוח מאי</t>
        </is>
      </c>
      <c r="C21" s="12" t="inlineStr">
        <is>
          <t>17 design + 26 לבן טובולרי</t>
        </is>
      </c>
      <c r="D21" s="34">
        <f>D19+D20</f>
        <v/>
      </c>
      <c r="E21" s="14" t="inlineStr">
        <is>
          <t>גליל</t>
        </is>
      </c>
      <c r="F21" s="35" t="inlineStr"/>
      <c r="G21" s="36" t="inlineStr"/>
      <c r="H21" s="37">
        <f>H19+H20</f>
        <v/>
      </c>
      <c r="I21" s="38" t="n">
        <v>804.1</v>
      </c>
      <c r="J21" s="15" t="inlineStr">
        <is>
          <t>packing list 14.5.2026 / דרישה #1581</t>
        </is>
      </c>
    </row>
    <row r="22">
      <c r="A22" s="27" t="inlineStr">
        <is>
          <t>2026-09-09</t>
        </is>
      </c>
      <c r="B22" s="28" t="inlineStr">
        <is>
          <t>בגדים — קרטונים</t>
        </is>
      </c>
      <c r="C22" s="28" t="inlineStr">
        <is>
          <t>משלוח עומר 200/201/202</t>
        </is>
      </c>
      <c r="D22" s="29" t="n">
        <v>53</v>
      </c>
      <c r="E22" s="27" t="inlineStr">
        <is>
          <t>קרטון</t>
        </is>
      </c>
      <c r="F22" s="28" t="inlineStr">
        <is>
          <t>60 × 40 × 40 ס״מ</t>
        </is>
      </c>
      <c r="G22" s="30">
        <f>B10*B11*B12</f>
        <v/>
      </c>
      <c r="H22" s="39">
        <f>D22*G22</f>
        <v/>
      </c>
      <c r="I22" s="29" t="n"/>
      <c r="J22" s="32" t="inlineStr">
        <is>
          <t>דרישה #2432 — 53 קרטונים × 42$</t>
        </is>
      </c>
    </row>
    <row r="24" ht="22" customHeight="1">
      <c r="A24" s="40" t="inlineStr">
        <is>
          <t>סיכום נפח בפועל: אפריל 2.15 קוב (25×0.086) · מאי 3.19 קוב (1.462+1.732) · ספטמבר 5.09 קוב (53×0.096). בדרישת אפריל נרשם 9 קוב — זה מספר היחידות שחויבו (9×64$), לא הנפח האמיתי.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22" customHeight="1"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22" customHeight="1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</sheetData>
  <autoFilter ref="A17:J17"/>
  <mergeCells count="15">
    <mergeCell ref="A4:B4"/>
    <mergeCell ref="D14:J14"/>
    <mergeCell ref="A1:J1"/>
    <mergeCell ref="D9:J9"/>
    <mergeCell ref="D12:J12"/>
    <mergeCell ref="D7:J7"/>
    <mergeCell ref="D8:J8"/>
    <mergeCell ref="D6:J6"/>
    <mergeCell ref="D13:J13"/>
    <mergeCell ref="D10:J10"/>
    <mergeCell ref="A2:J2"/>
    <mergeCell ref="D15:J15"/>
    <mergeCell ref="D11:J11"/>
    <mergeCell ref="A24:J26"/>
    <mergeCell ref="D5:J5"/>
  </mergeCells>
  <pageMargins left="0.75" right="0.75" top="1" bottom="1" header="0.5" footer="0.5"/>
  <pageSetup orientation="landscape" paperSize="9" fitToHeight="1" fitToWidth="1"/>
  <headerFooter>
    <oddHeader/>
    <oddFooter>&amp;Lאריה בגדי תינוקות — חישוב קוב אקספרסליין&amp;Rעמוד &amp;P מתוך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2" customWidth="1" min="4" max="4"/>
    <col width="13" customWidth="1" min="5" max="5"/>
    <col width="12" customWidth="1" min="6" max="6"/>
    <col width="16" customWidth="1" min="7" max="7"/>
    <col width="16" customWidth="1" min="8" max="8"/>
    <col width="14" customWidth="1" min="9" max="9"/>
    <col width="10" customWidth="1" min="10" max="10"/>
    <col width="12" customWidth="1" min="11" max="11"/>
    <col width="14" customWidth="1" min="12" max="12"/>
    <col width="14" customWidth="1" min="13" max="13"/>
    <col width="12" customWidth="1" min="14" max="14"/>
    <col width="14" customWidth="1" min="15" max="15"/>
    <col width="36" customWidth="1" min="16" max="16"/>
  </cols>
  <sheetData>
    <row r="1" ht="28" customHeight="1">
      <c r="A1" s="1" t="inlineStr">
        <is>
          <t>מחיר לקוב — אקספרסליין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6" customHeight="1">
      <c r="A2" s="3" t="inlineStr">
        <is>
          <t>הובלה בלבד (ללא שווי סחורה). מאי: בדרישה #1581 נרשם 1,720$ (43×40) — בפועל חויב 922$ (≈21.5$×43). ייחוס בדים ≈ 280 $/קוב.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28" customHeight="1">
      <c r="A4" s="22" t="inlineStr">
        <is>
          <t>תאריך</t>
        </is>
      </c>
      <c r="B4" s="22" t="inlineStr">
        <is>
          <t>משלוח</t>
        </is>
      </c>
      <c r="C4" s="22" t="inlineStr">
        <is>
          <t>יחידות בדרישה</t>
        </is>
      </c>
      <c r="D4" s="22" t="inlineStr">
        <is>
          <t>$ ליחידה</t>
        </is>
      </c>
      <c r="E4" s="22" t="inlineStr">
        <is>
          <t>הובלה $</t>
        </is>
      </c>
      <c r="F4" s="22" t="inlineStr">
        <is>
          <t>קוב בפועל</t>
        </is>
      </c>
      <c r="G4" s="22" t="inlineStr">
        <is>
          <t>$ לקוב לפני מע״מ</t>
        </is>
      </c>
      <c r="H4" s="22" t="inlineStr">
        <is>
          <t>$ לקוב כולל 18%</t>
        </is>
      </c>
      <c r="I4" s="22" t="inlineStr">
        <is>
          <t>₪ לקוב לפני מע״מ</t>
        </is>
      </c>
      <c r="J4" s="22" t="inlineStr">
        <is>
          <t>ק״ג</t>
        </is>
      </c>
      <c r="K4" s="22" t="inlineStr">
        <is>
          <t>$ לק״ג</t>
        </is>
      </c>
      <c r="L4" s="22" t="inlineStr">
        <is>
          <t>ייחוס $/קוב</t>
        </is>
      </c>
      <c r="M4" s="22" t="inlineStr">
        <is>
          <t>הובלה צפויה $</t>
        </is>
      </c>
      <c r="N4" s="22" t="inlineStr">
        <is>
          <t>פער $</t>
        </is>
      </c>
      <c r="O4" s="22" t="inlineStr">
        <is>
          <t>שער ₪/$</t>
        </is>
      </c>
      <c r="P4" s="22" t="inlineStr">
        <is>
          <t>הערות</t>
        </is>
      </c>
    </row>
    <row r="5">
      <c r="A5" s="41" t="inlineStr">
        <is>
          <t>2026-04-09</t>
        </is>
      </c>
      <c r="B5" s="42" t="inlineStr">
        <is>
          <t>בדים — גלילים פתוחים</t>
        </is>
      </c>
      <c r="C5" s="43" t="n">
        <v>9</v>
      </c>
      <c r="D5" s="43" t="n">
        <v>64</v>
      </c>
      <c r="E5" s="44">
        <f>C5*D5</f>
        <v/>
      </c>
      <c r="F5" s="45">
        <f>'חישוב נפח'!H18</f>
        <v/>
      </c>
      <c r="G5" s="46">
        <f>E5/F5</f>
        <v/>
      </c>
      <c r="H5" s="45">
        <f>G5*1.18</f>
        <v/>
      </c>
      <c r="I5" s="47">
        <f>E5*O5/F5</f>
        <v/>
      </c>
      <c r="J5" s="43" t="n">
        <v>502</v>
      </c>
      <c r="K5" s="45">
        <f>E5/J5</f>
        <v/>
      </c>
      <c r="L5" s="48">
        <f>'חישוב נפח'!B13</f>
        <v/>
      </c>
      <c r="M5" s="47">
        <f>F5*L5</f>
        <v/>
      </c>
      <c r="N5" s="47">
        <f>E5-M5</f>
        <v/>
      </c>
      <c r="O5" s="45" t="n">
        <v>3.14</v>
      </c>
      <c r="P5" s="49" t="inlineStr">
        <is>
          <t>9×64$ בדרישה; נפח אמיתי 2.15 קוב → 268 $/קוב, 1.15 $/ק״ג</t>
        </is>
      </c>
    </row>
    <row r="6">
      <c r="A6" s="27" t="inlineStr">
        <is>
          <t>2026-05-10</t>
        </is>
      </c>
      <c r="B6" s="28" t="inlineStr">
        <is>
          <t>בדים — RIB (דרישה #1581)</t>
        </is>
      </c>
      <c r="C6" s="29" t="n">
        <v>43</v>
      </c>
      <c r="D6" s="50" t="n">
        <v>21.5</v>
      </c>
      <c r="E6" s="51" t="n">
        <v>922</v>
      </c>
      <c r="F6" s="52">
        <f>'חישוב נפח'!H21</f>
        <v/>
      </c>
      <c r="G6" s="39">
        <f>E6/F6</f>
        <v/>
      </c>
      <c r="H6" s="52">
        <f>G6*1.18</f>
        <v/>
      </c>
      <c r="I6" s="53">
        <f>E6*O6/F6</f>
        <v/>
      </c>
      <c r="J6" s="50" t="n">
        <v>804.1</v>
      </c>
      <c r="K6" s="52">
        <f>E6/J6</f>
        <v/>
      </c>
      <c r="L6" s="54">
        <f>'חישוב נפח'!B13</f>
        <v/>
      </c>
      <c r="M6" s="53">
        <f>F6*L6</f>
        <v/>
      </c>
      <c r="N6" s="53">
        <f>E6-M6</f>
        <v/>
      </c>
      <c r="O6" s="52" t="n">
        <v>3</v>
      </c>
      <c r="P6" s="32" t="inlineStr">
        <is>
          <t>בפועל 922$ (לא 1,720$ שבדרישה). 289 $/קוב, 1.15 $/ק״ג. 43×21.5=924.5 ≈ 922</t>
        </is>
      </c>
    </row>
    <row r="7">
      <c r="A7" s="41" t="inlineStr">
        <is>
          <t>2026-09-09</t>
        </is>
      </c>
      <c r="B7" s="42" t="inlineStr">
        <is>
          <t>בגדים — קרטונים (#2432)</t>
        </is>
      </c>
      <c r="C7" s="43" t="n">
        <v>53</v>
      </c>
      <c r="D7" s="43" t="n">
        <v>42</v>
      </c>
      <c r="E7" s="44">
        <f>C7*D7</f>
        <v/>
      </c>
      <c r="F7" s="45">
        <f>'חישוב נפח'!H22</f>
        <v/>
      </c>
      <c r="G7" s="46">
        <f>E7/F7</f>
        <v/>
      </c>
      <c r="H7" s="45">
        <f>G7*1.18</f>
        <v/>
      </c>
      <c r="I7" s="47">
        <f>E7*O7/F7</f>
        <v/>
      </c>
      <c r="J7" s="43" t="n"/>
      <c r="K7" s="43" t="n"/>
      <c r="L7" s="48">
        <f>'חישוב נפח'!B13</f>
        <v/>
      </c>
      <c r="M7" s="47">
        <f>F7*L7</f>
        <v/>
      </c>
      <c r="N7" s="55">
        <f>E7-M7</f>
        <v/>
      </c>
      <c r="O7" s="45" t="n">
        <v>3.02</v>
      </c>
      <c r="P7" s="49" t="inlineStr">
        <is>
          <t>42$ לקרטון = 437 $/קוב. לפי 280 $/קוב צפוי ~27$ לקרטון / ~1,425$. פער ~800$</t>
        </is>
      </c>
    </row>
    <row r="8">
      <c r="A8" s="14" t="inlineStr"/>
      <c r="B8" s="12" t="inlineStr">
        <is>
          <t>סה״כ הובלה $</t>
        </is>
      </c>
      <c r="C8" s="56" t="n"/>
      <c r="D8" s="56" t="n"/>
      <c r="E8" s="57">
        <f>E5+E6+E7</f>
        <v/>
      </c>
      <c r="F8" s="37">
        <f>F5+F6+F7</f>
        <v/>
      </c>
      <c r="G8" s="37">
        <f>E8/F8</f>
        <v/>
      </c>
      <c r="H8" s="56" t="n"/>
      <c r="I8" s="56" t="n"/>
      <c r="J8" s="56" t="n"/>
      <c r="K8" s="56" t="n"/>
      <c r="L8" s="56" t="n"/>
      <c r="M8" s="57">
        <f>M5+M6+M7</f>
        <v/>
      </c>
      <c r="N8" s="57">
        <f>N5+N6+N7</f>
        <v/>
      </c>
      <c r="O8" s="56" t="n"/>
      <c r="P8" s="15" t="inlineStr">
        <is>
          <t>ממוצע משוקלל $/קוב על שלושת המשלוחים</t>
        </is>
      </c>
    </row>
    <row r="10">
      <c r="A10" s="58" t="inlineStr">
        <is>
          <t>מה המספרים אומרים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 ht="22" customHeight="1">
      <c r="A11" s="59" t="inlineStr">
        <is>
          <t>משלוחי הבדים (אפריל+מאי) יצאו כמעט אותו מחיר לק״ג (1.15 $/ק״ג) ולקוב (~268–289 $/קוב). סביר שאקספרסליין מתמחר בדים לפי משקל/נפח, לא לפי קרטון.</t>
        </is>
      </c>
    </row>
    <row r="12" ht="22" customHeight="1">
      <c r="A12" s="59" t="inlineStr">
        <is>
          <t>במאי הדרישה #1581 רשמה 40$ לקרטון (1,720$) — זה היה טעות. החיוב בפועל 922$ מיישר את המחיר לקוב עם אפריל.</t>
        </is>
      </c>
    </row>
    <row r="13" ht="22" customHeight="1">
      <c r="A13" s="59" t="inlineStr">
        <is>
          <t>משלוח הבגדים בספטמבר חויב 42$ לקרטון = 437 $/קוב — פי ~1.6 ממחיר הבדים לקוב. לפי 280 $/קוב קרטון 60×40×40 היה אמור לעלות ~27$, לא 42$.</t>
        </is>
      </c>
    </row>
    <row r="14" ht="22" customHeight="1">
      <c r="A14" s="59" t="inlineStr">
        <is>
          <t>פער ספטמבר: 2,226$ ששולם מול ~1,425$ צפוי = כ-800$ (כ-2,400 ₪ בשער 3.02). שווה לברר מולם אם הבגדים מתומחרים אחרת מהבד.</t>
        </is>
      </c>
    </row>
    <row r="15" ht="22" customHeight="1">
      <c r="A15" s="59" t="inlineStr">
        <is>
          <t>דרישת #1581 לאחר תיקון הובלה: בדים 5,533$ + הובלה 922$ = 6,455$ + מע״מ 18% = 7,616.90$ ≈ 22,850.70 ₪ (שער 3.00). המסמך המקורי עדיין מציג 8,558.54$.</t>
        </is>
      </c>
    </row>
  </sheetData>
  <autoFilter ref="A4:P4"/>
  <mergeCells count="8">
    <mergeCell ref="A11:P11"/>
    <mergeCell ref="A10:P10"/>
    <mergeCell ref="A13:P13"/>
    <mergeCell ref="A14:P14"/>
    <mergeCell ref="A1:P1"/>
    <mergeCell ref="A12:P12"/>
    <mergeCell ref="A15:P15"/>
    <mergeCell ref="A2:P2"/>
  </mergeCells>
  <pageMargins left="0.75" right="0.75" top="1" bottom="1" header="0.5" footer="0.5"/>
  <pageSetup orientation="landscape" paperSize="9" fitToHeight="1" fitToWidth="1"/>
  <headerFooter>
    <oddHeader/>
    <oddFooter>&amp;Lאריה בגדי תינוקות — מחיר לקוב אקספרסליין&amp;Rעמוד &amp;P מתוך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2026-09-16T07:24:46Z</dcterms:created>
  <dcterms:modified xmlns:dcterms="http://purl.org/dc/terms/" xmlns:xsi="http://www.w3.org/2001/XMLSchema-instance" xsi:type="dcterms:W3CDTF">2026-09-16T07:24:46Z</dcterms:modified>
</cp:coreProperties>
</file>