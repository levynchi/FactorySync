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ysegul.turan\Desktop\"/>
    </mc:Choice>
  </mc:AlternateContent>
  <bookViews>
    <workbookView xWindow="0" yWindow="0" windowWidth="24000" windowHeight="9645"/>
  </bookViews>
  <sheets>
    <sheet name="ARYE" sheetId="1" r:id="rId1"/>
  </sheets>
  <calcPr calcId="162913"/>
</workbook>
</file>

<file path=xl/calcChain.xml><?xml version="1.0" encoding="utf-8"?>
<calcChain xmlns="http://schemas.openxmlformats.org/spreadsheetml/2006/main">
  <c r="I18" i="1" l="1"/>
  <c r="I17" i="1"/>
  <c r="H17" i="1"/>
  <c r="G17" i="1"/>
</calcChain>
</file>

<file path=xl/sharedStrings.xml><?xml version="1.0" encoding="utf-8"?>
<sst xmlns="http://schemas.openxmlformats.org/spreadsheetml/2006/main" count="54" uniqueCount="24">
  <si>
    <t>TARİH</t>
  </si>
  <si>
    <t>SERİ</t>
  </si>
  <si>
    <t>SIRA</t>
  </si>
  <si>
    <t>EVRAK TİPİ</t>
  </si>
  <si>
    <t>AÇIKLAMA</t>
  </si>
  <si>
    <t>VADE TARİH</t>
  </si>
  <si>
    <t>ORJİNAL DÖVİZ BORÇ</t>
  </si>
  <si>
    <t>ORJİNAL DÖVİZ ALACAK</t>
  </si>
  <si>
    <t>Satış faturası</t>
  </si>
  <si>
    <t/>
  </si>
  <si>
    <t>24</t>
  </si>
  <si>
    <t>AKD2024</t>
  </si>
  <si>
    <t>H</t>
  </si>
  <si>
    <t>Bankaya gelen havale fişi</t>
  </si>
  <si>
    <t xml:space="preserve">198.180 TL KARŞILIĞI KUR:33,03 </t>
  </si>
  <si>
    <t>N</t>
  </si>
  <si>
    <t>Tahsilat makbuzu</t>
  </si>
  <si>
    <t>NAKİT CERENAK VEJDİ BEY'DE</t>
  </si>
  <si>
    <t>ATK2024</t>
  </si>
  <si>
    <t>512694,33 TL KUR:34,3736</t>
  </si>
  <si>
    <t>812.580 TL KUR:36.11</t>
  </si>
  <si>
    <t>25</t>
  </si>
  <si>
    <t>ATK2025</t>
  </si>
  <si>
    <t>GELEN NAKİT HARİÇ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</si>
</sst>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\.mm\.yyyy"/>
    <numFmt numFmtId="165" formatCode="#,##0.00;\-#,##0.00"/>
    <numFmt numFmtId="166" formatCode="#,##0.00_ ;\-#,##0.00\ "/>
  </numFmts>
  <fonts count="2" x14ac:knownFonts="1">
    <font>
      <sz val="11"/>
      <name val="Calibri"/>
      <charset val="1"/>
    </font>
    <font>
      <sz val="8"/>
      <color rgb="FF000000"/>
      <name val="Segoe UI"/>
      <charset val="1"/>
    </font>
  </fonts>
  <fills count="7">
    <fill>
      <patternFill patternType="none"/>
    </fill>
    <fill>
      <patternFill patternType="gray125"/>
    </fill>
    <fill>
      <patternFill patternType="solid">
        <fgColor rgb="FFF0F1F2"/>
        <bgColor rgb="FFF0F1F2"/>
      </patternFill>
    </fill>
    <fill>
      <patternFill patternType="solid">
        <fgColor rgb="FFEAEBEE"/>
        <bgColor rgb="FFEAEBEE"/>
      </patternFill>
    </fill>
    <fill>
      <patternFill patternType="solid">
        <fgColor rgb="FFFFC000"/>
        <bgColor rgb="FFF0F1F2"/>
      </patternFill>
    </fill>
    <fill>
      <patternFill patternType="solid">
        <fgColor rgb="FFFF0000"/>
        <bgColor rgb="FFF0F1F2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top" wrapText="1"/>
    </xf>
    <xf numFmtId="0" fontId="1" fillId="3" borderId="1" xfId="0" applyNumberFormat="1" applyFont="1" applyFill="1" applyBorder="1" applyAlignment="1" applyProtection="1">
      <alignment horizontal="center" vertical="top" wrapText="1"/>
    </xf>
    <xf numFmtId="164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left" vertical="top" wrapText="1"/>
    </xf>
    <xf numFmtId="0" fontId="1" fillId="0" borderId="1" xfId="0" applyNumberFormat="1" applyFont="1" applyFill="1" applyBorder="1" applyAlignment="1" applyProtection="1">
      <alignment horizontal="right" vertical="top" wrapText="1"/>
    </xf>
    <xf numFmtId="165" fontId="1" fillId="0" borderId="1" xfId="0" applyNumberFormat="1" applyFont="1" applyFill="1" applyBorder="1" applyAlignment="1" applyProtection="1">
      <alignment horizontal="right" vertical="top" wrapText="1"/>
    </xf>
    <xf numFmtId="0" fontId="1" fillId="0" borderId="0" xfId="0" applyNumberFormat="1" applyFont="1" applyFill="1" applyBorder="1" applyAlignment="1" applyProtection="1">
      <alignment horizontal="left" vertical="top" wrapText="1"/>
    </xf>
    <xf numFmtId="165" fontId="1" fillId="2" borderId="0" xfId="0" applyNumberFormat="1" applyFont="1" applyFill="1" applyBorder="1" applyAlignment="1" applyProtection="1">
      <alignment horizontal="left" vertical="top" wrapText="1"/>
    </xf>
    <xf numFmtId="166" fontId="1" fillId="5" borderId="0" xfId="0" applyNumberFormat="1" applyFont="1" applyFill="1" applyBorder="1" applyAlignment="1" applyProtection="1">
      <alignment horizontal="left" vertical="top" wrapText="1"/>
    </xf>
    <xf numFmtId="164" fontId="1" fillId="6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right" vertical="top" wrapText="1"/>
    </xf>
    <xf numFmtId="165" fontId="1" fillId="6" borderId="1" xfId="0" applyNumberFormat="1" applyFont="1" applyFill="1" applyBorder="1" applyAlignment="1" applyProtection="1">
      <alignment horizontal="right" vertical="top" wrapText="1"/>
    </xf>
    <xf numFmtId="166" fontId="1" fillId="4" borderId="0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J18" sqref="J18"/>
    </sheetView>
  </sheetViews>
  <sheetFormatPr defaultColWidth="12.140625" defaultRowHeight="15" customHeight="1" x14ac:dyDescent="0.25"/>
  <cols>
    <col min="1" max="1" width="8.5703125" style="1" customWidth="1"/>
    <col min="2" max="4" width="7.140625" style="1" customWidth="1"/>
    <col min="5" max="5" width="43.42578125" style="1" customWidth="1"/>
    <col min="6" max="7" width="8.7109375" style="1" bestFit="1" customWidth="1"/>
    <col min="8" max="8" width="7.85546875" style="1" customWidth="1"/>
    <col min="9" max="16384" width="12.140625" style="1"/>
  </cols>
  <sheetData>
    <row r="1" spans="1:8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s="7" customFormat="1" ht="13.5" customHeight="1" x14ac:dyDescent="0.25">
      <c r="A2" s="3">
        <v>45440</v>
      </c>
      <c r="B2" s="4" t="s">
        <v>10</v>
      </c>
      <c r="C2" s="5">
        <v>917</v>
      </c>
      <c r="D2" s="4" t="s">
        <v>8</v>
      </c>
      <c r="E2" s="4" t="s">
        <v>9</v>
      </c>
      <c r="F2" s="3">
        <v>45470</v>
      </c>
      <c r="G2" s="6">
        <v>12429.31</v>
      </c>
      <c r="H2" s="6">
        <v>0</v>
      </c>
    </row>
    <row r="3" spans="1:8" s="7" customFormat="1" ht="13.5" customHeight="1" x14ac:dyDescent="0.25">
      <c r="A3" s="3">
        <v>45440</v>
      </c>
      <c r="B3" s="4" t="s">
        <v>11</v>
      </c>
      <c r="C3" s="5">
        <v>846</v>
      </c>
      <c r="D3" s="4" t="s">
        <v>8</v>
      </c>
      <c r="E3" s="4" t="s">
        <v>9</v>
      </c>
      <c r="F3" s="3">
        <v>45470</v>
      </c>
      <c r="G3" s="6">
        <v>764.88</v>
      </c>
      <c r="H3" s="6">
        <v>0</v>
      </c>
    </row>
    <row r="4" spans="1:8" s="7" customFormat="1" ht="13.5" customHeight="1" x14ac:dyDescent="0.25">
      <c r="A4" s="3">
        <v>45492</v>
      </c>
      <c r="B4" s="4" t="s">
        <v>12</v>
      </c>
      <c r="C4" s="5">
        <v>10726</v>
      </c>
      <c r="D4" s="4" t="s">
        <v>13</v>
      </c>
      <c r="E4" s="4" t="s">
        <v>14</v>
      </c>
      <c r="F4" s="3">
        <v>45492</v>
      </c>
      <c r="G4" s="6">
        <v>0</v>
      </c>
      <c r="H4" s="6">
        <v>6000</v>
      </c>
    </row>
    <row r="5" spans="1:8" s="7" customFormat="1" ht="13.5" customHeight="1" x14ac:dyDescent="0.25">
      <c r="A5" s="10">
        <v>45498</v>
      </c>
      <c r="B5" s="11" t="s">
        <v>15</v>
      </c>
      <c r="C5" s="12">
        <v>10733</v>
      </c>
      <c r="D5" s="11" t="s">
        <v>16</v>
      </c>
      <c r="E5" s="11" t="s">
        <v>17</v>
      </c>
      <c r="F5" s="10">
        <v>45498</v>
      </c>
      <c r="G5" s="13">
        <v>0</v>
      </c>
      <c r="H5" s="13">
        <v>4215</v>
      </c>
    </row>
    <row r="6" spans="1:8" s="7" customFormat="1" ht="13.5" customHeight="1" x14ac:dyDescent="0.25">
      <c r="A6" s="3">
        <v>45502</v>
      </c>
      <c r="B6" s="4" t="s">
        <v>12</v>
      </c>
      <c r="C6" s="5">
        <v>10741</v>
      </c>
      <c r="D6" s="4" t="s">
        <v>13</v>
      </c>
      <c r="E6" s="4" t="s">
        <v>9</v>
      </c>
      <c r="F6" s="3">
        <v>45502</v>
      </c>
      <c r="G6" s="6">
        <v>0</v>
      </c>
      <c r="H6" s="6">
        <v>2215</v>
      </c>
    </row>
    <row r="7" spans="1:8" s="7" customFormat="1" ht="13.5" customHeight="1" x14ac:dyDescent="0.25">
      <c r="A7" s="3">
        <v>45503</v>
      </c>
      <c r="B7" s="4" t="s">
        <v>10</v>
      </c>
      <c r="C7" s="5">
        <v>588</v>
      </c>
      <c r="D7" s="4" t="s">
        <v>8</v>
      </c>
      <c r="E7" s="4" t="s">
        <v>9</v>
      </c>
      <c r="F7" s="3">
        <v>45533</v>
      </c>
      <c r="G7" s="6">
        <v>14943.86</v>
      </c>
      <c r="H7" s="6">
        <v>0</v>
      </c>
    </row>
    <row r="8" spans="1:8" s="7" customFormat="1" ht="13.5" customHeight="1" x14ac:dyDescent="0.25">
      <c r="A8" s="3">
        <v>45503</v>
      </c>
      <c r="B8" s="4" t="s">
        <v>11</v>
      </c>
      <c r="C8" s="5">
        <v>1188</v>
      </c>
      <c r="D8" s="4" t="s">
        <v>8</v>
      </c>
      <c r="E8" s="4" t="s">
        <v>9</v>
      </c>
      <c r="F8" s="3">
        <v>45533</v>
      </c>
      <c r="G8" s="6">
        <v>1034.57</v>
      </c>
      <c r="H8" s="6">
        <v>0</v>
      </c>
    </row>
    <row r="9" spans="1:8" s="7" customFormat="1" ht="13.5" customHeight="1" x14ac:dyDescent="0.25">
      <c r="A9" s="3">
        <v>45539</v>
      </c>
      <c r="B9" s="4" t="s">
        <v>10</v>
      </c>
      <c r="C9" s="5">
        <v>1495</v>
      </c>
      <c r="D9" s="4" t="s">
        <v>8</v>
      </c>
      <c r="E9" s="4" t="s">
        <v>9</v>
      </c>
      <c r="F9" s="3">
        <v>45569</v>
      </c>
      <c r="G9" s="6">
        <v>6532.71</v>
      </c>
      <c r="H9" s="6">
        <v>0</v>
      </c>
    </row>
    <row r="10" spans="1:8" s="7" customFormat="1" ht="13.5" customHeight="1" x14ac:dyDescent="0.25">
      <c r="A10" s="3">
        <v>45539</v>
      </c>
      <c r="B10" s="4" t="s">
        <v>18</v>
      </c>
      <c r="C10" s="5">
        <v>92</v>
      </c>
      <c r="D10" s="4" t="s">
        <v>8</v>
      </c>
      <c r="E10" s="4" t="s">
        <v>9</v>
      </c>
      <c r="F10" s="3">
        <v>45569</v>
      </c>
      <c r="G10" s="6">
        <v>414.25</v>
      </c>
      <c r="H10" s="6">
        <v>0</v>
      </c>
    </row>
    <row r="11" spans="1:8" s="7" customFormat="1" ht="13.5" customHeight="1" x14ac:dyDescent="0.25">
      <c r="A11" s="3">
        <v>45605</v>
      </c>
      <c r="B11" s="4" t="s">
        <v>10</v>
      </c>
      <c r="C11" s="5">
        <v>2073</v>
      </c>
      <c r="D11" s="4" t="s">
        <v>8</v>
      </c>
      <c r="E11" s="4" t="s">
        <v>9</v>
      </c>
      <c r="F11" s="3">
        <v>45635</v>
      </c>
      <c r="G11" s="6">
        <v>15804.44</v>
      </c>
      <c r="H11" s="6">
        <v>0</v>
      </c>
    </row>
    <row r="12" spans="1:8" s="7" customFormat="1" ht="13.5" customHeight="1" x14ac:dyDescent="0.25">
      <c r="A12" s="3">
        <v>45605</v>
      </c>
      <c r="B12" s="4" t="s">
        <v>11</v>
      </c>
      <c r="C12" s="5">
        <v>1727</v>
      </c>
      <c r="D12" s="4" t="s">
        <v>8</v>
      </c>
      <c r="E12" s="4" t="s">
        <v>9</v>
      </c>
      <c r="F12" s="3">
        <v>45635</v>
      </c>
      <c r="G12" s="6">
        <v>1094.1500000000001</v>
      </c>
      <c r="H12" s="6">
        <v>0</v>
      </c>
    </row>
    <row r="13" spans="1:8" s="7" customFormat="1" ht="13.5" customHeight="1" x14ac:dyDescent="0.25">
      <c r="A13" s="3">
        <v>45609</v>
      </c>
      <c r="B13" s="4" t="s">
        <v>12</v>
      </c>
      <c r="C13" s="5">
        <v>12236</v>
      </c>
      <c r="D13" s="4" t="s">
        <v>13</v>
      </c>
      <c r="E13" s="4" t="s">
        <v>19</v>
      </c>
      <c r="F13" s="3">
        <v>45609</v>
      </c>
      <c r="G13" s="6">
        <v>0</v>
      </c>
      <c r="H13" s="6">
        <v>14915.35</v>
      </c>
    </row>
    <row r="14" spans="1:8" s="7" customFormat="1" ht="13.5" customHeight="1" x14ac:dyDescent="0.25">
      <c r="A14" s="3">
        <v>45719</v>
      </c>
      <c r="B14" s="4" t="s">
        <v>12</v>
      </c>
      <c r="C14" s="5">
        <v>13375</v>
      </c>
      <c r="D14" s="4" t="s">
        <v>13</v>
      </c>
      <c r="E14" s="4" t="s">
        <v>20</v>
      </c>
      <c r="F14" s="3">
        <v>45719</v>
      </c>
      <c r="G14" s="6">
        <v>0</v>
      </c>
      <c r="H14" s="6">
        <v>22500</v>
      </c>
    </row>
    <row r="15" spans="1:8" s="7" customFormat="1" ht="13.5" customHeight="1" x14ac:dyDescent="0.25">
      <c r="A15" s="3">
        <v>45727</v>
      </c>
      <c r="B15" s="4" t="s">
        <v>21</v>
      </c>
      <c r="C15" s="5">
        <v>208</v>
      </c>
      <c r="D15" s="4" t="s">
        <v>8</v>
      </c>
      <c r="E15" s="4" t="s">
        <v>9</v>
      </c>
      <c r="F15" s="3">
        <v>45757</v>
      </c>
      <c r="G15" s="6">
        <v>7582.85</v>
      </c>
      <c r="H15" s="6">
        <v>0</v>
      </c>
    </row>
    <row r="16" spans="1:8" s="7" customFormat="1" ht="13.5" customHeight="1" x14ac:dyDescent="0.25">
      <c r="A16" s="3">
        <v>45727</v>
      </c>
      <c r="B16" s="4" t="s">
        <v>22</v>
      </c>
      <c r="C16" s="5">
        <v>12</v>
      </c>
      <c r="D16" s="4" t="s">
        <v>8</v>
      </c>
      <c r="E16" s="4" t="s">
        <v>9</v>
      </c>
      <c r="F16" s="3">
        <v>45757</v>
      </c>
      <c r="G16" s="6">
        <v>437.33</v>
      </c>
      <c r="H16" s="6">
        <v>0</v>
      </c>
    </row>
    <row r="17" spans="7:10" ht="15" customHeight="1" x14ac:dyDescent="0.25">
      <c r="G17" s="8">
        <f>SUM(G2:G16)</f>
        <v>61038.350000000006</v>
      </c>
      <c r="H17" s="8">
        <f>SUM(H2:H16)</f>
        <v>49845.35</v>
      </c>
      <c r="I17" s="9">
        <f>G17-H17</f>
        <v>11193.000000000007</v>
      </c>
    </row>
    <row r="18" spans="7:10" ht="23.25" customHeight="1" x14ac:dyDescent="0.25">
      <c r="I18" s="14">
        <f>I17+H5</f>
        <v>15408.000000000007</v>
      </c>
      <c r="J18" s="1" t="s">
        <v>23</v>
      </c>
    </row>
  </sheetData>
  <pageMargins left="0.7" right="0.7" top="0.75" bottom="0.75" header="0.3" footer="0.3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ARYE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Ayşegül Turan</cp:lastModifiedBy>
  <dcterms:modified xsi:type="dcterms:W3CDTF">2026-02-24T13:06:50Z</dcterms:modified>
</cp:coreProperties>
</file>